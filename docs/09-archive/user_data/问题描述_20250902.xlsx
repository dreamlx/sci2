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E:\Project\Project-Active\SCP02161 SCI赛生医药\项目改进\问题描述\"/>
    </mc:Choice>
  </mc:AlternateContent>
  <xr:revisionPtr revIDLastSave="0" documentId="13_ncr:1_{29871071-8DF3-4317-B640-4480DFFCB657}" xr6:coauthVersionLast="47" xr6:coauthVersionMax="47" xr10:uidLastSave="{00000000-0000-0000-0000-000000000000}"/>
  <bookViews>
    <workbookView xWindow="-120" yWindow="-120" windowWidth="29040" windowHeight="15720" xr2:uid="{00000000-000D-0000-FFFF-FFFF00000000}"/>
  </bookViews>
  <sheets>
    <sheet name="问题代码结构" sheetId="8" r:id="rId1"/>
    <sheet name="Fee Type" sheetId="9" r:id="rId2"/>
    <sheet name="个人" sheetId="1" r:id="rId3"/>
    <sheet name="学术" sheetId="2" r:id="rId4"/>
    <sheet name="Sheet2" sheetId="4" state="hidden" r:id="rId5"/>
    <sheet name="Sheet1 (3)" sheetId="7" state="hidden" r:id="rId6"/>
    <sheet name="Sheet1" sheetId="3" state="hidden" r:id="rId7"/>
    <sheet name="Sheet1 (2)" sheetId="6" state="hidden" r:id="rId8"/>
  </sheets>
  <definedNames>
    <definedName name="_xlnm._FilterDatabase" localSheetId="2" hidden="1">个人!$C$1:$K$124</definedName>
    <definedName name="_xlnm._FilterDatabase" localSheetId="3" hidden="1">学术!$A$1:$K$329</definedName>
  </definedNames>
  <calcPr calcId="191029"/>
  <pivotCaches>
    <pivotCache cacheId="133" r:id="rId9"/>
    <pivotCache cacheId="159" r:id="rId10"/>
    <pivotCache cacheId="16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2" i="2"/>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2" i="1"/>
  <c r="B8"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2" i="2"/>
  <c r="B3" i="2"/>
  <c r="B4" i="2"/>
  <c r="B5" i="2"/>
  <c r="B6" i="2"/>
  <c r="B7"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2" i="2"/>
  <c r="D21" i="3"/>
  <c r="E21" i="3"/>
  <c r="F21" i="3"/>
  <c r="G21" i="3"/>
  <c r="H21" i="3"/>
  <c r="I21" i="3"/>
  <c r="J21" i="3"/>
  <c r="C21" i="3"/>
  <c r="K21" i="3" s="1"/>
</calcChain>
</file>

<file path=xl/sharedStrings.xml><?xml version="1.0" encoding="utf-8"?>
<sst xmlns="http://schemas.openxmlformats.org/spreadsheetml/2006/main" count="5251" uniqueCount="794">
  <si>
    <t>Meeting Code</t>
    <phoneticPr fontId="3" type="noConversion"/>
  </si>
  <si>
    <t>会议类型</t>
    <phoneticPr fontId="3" type="noConversion"/>
  </si>
  <si>
    <t>Expense Code</t>
    <phoneticPr fontId="4" type="noConversion"/>
  </si>
  <si>
    <t>费用类型</t>
    <phoneticPr fontId="4" type="noConversion"/>
  </si>
  <si>
    <t>Issue Code</t>
    <phoneticPr fontId="4" type="noConversion"/>
  </si>
  <si>
    <t>问题类型</t>
    <phoneticPr fontId="4" type="noConversion"/>
  </si>
  <si>
    <t>SOP描述</t>
    <phoneticPr fontId="4" type="noConversion"/>
  </si>
  <si>
    <t>标准处理方法</t>
    <phoneticPr fontId="4" type="noConversion"/>
  </si>
  <si>
    <t>EN000101</t>
  </si>
  <si>
    <t>个人</t>
    <phoneticPr fontId="3" type="noConversion"/>
  </si>
  <si>
    <t>月度交通费（销售/SMO/CO)</t>
  </si>
  <si>
    <t>燃油费行程问题</t>
    <phoneticPr fontId="4" type="noConversion"/>
  </si>
  <si>
    <t>根据SOP规定，月度交通费报销燃油费需提供每张燃油费的使用时间区间，行程为医院的需具体到科室</t>
    <phoneticPr fontId="4" type="noConversion"/>
  </si>
  <si>
    <t>请根据要求在评论区将行程补充完整</t>
    <phoneticPr fontId="4" type="noConversion"/>
  </si>
  <si>
    <t>EN000102</t>
  </si>
  <si>
    <t>出租车行程问题</t>
    <phoneticPr fontId="4" type="noConversion"/>
  </si>
  <si>
    <t>根据SOP规定，月度交通费报销出租车费用，需注明具体的行程地点和事由，行程为医院的，应明确注明拜访医院及科室</t>
    <phoneticPr fontId="4" type="noConversion"/>
  </si>
  <si>
    <t>请根据要求补充至HLY评论区</t>
    <phoneticPr fontId="4" type="noConversion"/>
  </si>
  <si>
    <t>EN000103</t>
  </si>
  <si>
    <t>网约车行程问题</t>
    <phoneticPr fontId="4" type="noConversion"/>
  </si>
  <si>
    <t>根据SOP规定，月度交通费报销网约车费用，行程为医院的，应明确注明拜访医院及科室，并提供事由</t>
    <phoneticPr fontId="4" type="noConversion"/>
  </si>
  <si>
    <t>EN000104</t>
  </si>
  <si>
    <t>单笔超500问题</t>
    <phoneticPr fontId="4" type="noConversion"/>
  </si>
  <si>
    <t>根据SOP规定，单次费用超过人民币500元的长距离陆地交通需要使用指定供应商或有营运资质的网约车，并提供详细行程单</t>
    <phoneticPr fontId="4" type="noConversion"/>
  </si>
  <si>
    <t>请补充提供，无法提供将不予报销</t>
    <phoneticPr fontId="4" type="noConversion"/>
  </si>
  <si>
    <t>EN000105</t>
  </si>
  <si>
    <t>当月总额超限额</t>
    <phoneticPr fontId="4" type="noConversion"/>
  </si>
  <si>
    <t>根据SOP规定，月度交通费超过标准限额，如需报销，需补充提供部门负责人的特批</t>
    <phoneticPr fontId="4" type="noConversion"/>
  </si>
  <si>
    <t>请提供</t>
    <phoneticPr fontId="4" type="noConversion"/>
  </si>
  <si>
    <t>EN000201</t>
  </si>
  <si>
    <t>交通费-市内</t>
  </si>
  <si>
    <t>根据SOP规定，驻地内产生的出租车，公共汽车、地铁等发票，报销时需列明行程和事由</t>
    <phoneticPr fontId="4" type="noConversion"/>
  </si>
  <si>
    <t>EN000202</t>
  </si>
  <si>
    <t>根据SOP规定，驻地内产生的网约车费用发票，报销时需要提供行程单和事由</t>
    <phoneticPr fontId="4" type="noConversion"/>
  </si>
  <si>
    <t>EN000203</t>
  </si>
  <si>
    <t>EN000204</t>
  </si>
  <si>
    <t>OT打车问题</t>
    <phoneticPr fontId="4" type="noConversion"/>
  </si>
  <si>
    <t>根据SOP规定，工作到晚上19:30分后可以报销回家出租车费，您的OT打车费用不符合要求</t>
    <phoneticPr fontId="4" type="noConversion"/>
  </si>
  <si>
    <t>请确认后为您扣除</t>
    <phoneticPr fontId="4" type="noConversion"/>
  </si>
  <si>
    <t>EN000301</t>
  </si>
  <si>
    <t>电话费</t>
    <phoneticPr fontId="4" type="noConversion"/>
  </si>
  <si>
    <t>非套餐话费超标&amp;充值发票</t>
    <phoneticPr fontId="4" type="noConversion"/>
  </si>
  <si>
    <t>根据SOP规定，报销话费金额大于350元或发票为充值发票，需要提供话费明细账单；</t>
    <phoneticPr fontId="4" type="noConversion"/>
  </si>
  <si>
    <t>请补充上传至HLY评论区</t>
    <phoneticPr fontId="4" type="noConversion"/>
  </si>
  <si>
    <t>EN000302</t>
  </si>
  <si>
    <t>套餐超350元</t>
    <phoneticPr fontId="4" type="noConversion"/>
  </si>
  <si>
    <t>根据SOP规定，月度套餐费用超过350元的，需解释实际费用需求，并获部门负责人审批</t>
    <phoneticPr fontId="4" type="noConversion"/>
  </si>
  <si>
    <t>EN000303</t>
  </si>
  <si>
    <t>手机号未备案</t>
    <phoneticPr fontId="4" type="noConversion"/>
  </si>
  <si>
    <t>根据SOP规定，员工需要报销费用的手机号码须在公司备案登记。您的号码未备案，不予报销</t>
    <phoneticPr fontId="4" type="noConversion"/>
  </si>
  <si>
    <t>请提供备案记录或我们帮您扣除该号码下的金额</t>
    <phoneticPr fontId="4" type="noConversion"/>
  </si>
  <si>
    <t>EN000304</t>
    <phoneticPr fontId="3" type="noConversion"/>
  </si>
  <si>
    <t>话费发票无账期</t>
    <phoneticPr fontId="4" type="noConversion"/>
  </si>
  <si>
    <t>您提供的电话费发票未显示费用账期，需补充提供话费账单明细或话费消费记录</t>
    <phoneticPr fontId="4" type="noConversion"/>
  </si>
  <si>
    <t>EN000401</t>
  </si>
  <si>
    <t>工作餐</t>
    <phoneticPr fontId="4" type="noConversion"/>
  </si>
  <si>
    <t>缺水单</t>
    <phoneticPr fontId="4" type="noConversion"/>
  </si>
  <si>
    <t>根据SOP规定，费用金额超过300元，需提供水单</t>
    <phoneticPr fontId="4" type="noConversion"/>
  </si>
  <si>
    <t>请将水单原件邮寄至我司，并将水单照片或扫描件补充上传至评论区</t>
    <phoneticPr fontId="4" type="noConversion"/>
  </si>
  <si>
    <t>EN000402</t>
  </si>
  <si>
    <t>超市、商场&amp;水果市场费用</t>
    <phoneticPr fontId="4" type="noConversion"/>
  </si>
  <si>
    <t>根据SOP规定，超市、商场或水果市场购买的费用，需要提供明细</t>
    <phoneticPr fontId="4" type="noConversion"/>
  </si>
  <si>
    <t>EN000403</t>
  </si>
  <si>
    <t>系统与水单人数不一致</t>
    <phoneticPr fontId="4" type="noConversion"/>
  </si>
  <si>
    <t>水单用餐人数与系统填报的用餐人数不一致</t>
    <phoneticPr fontId="4" type="noConversion"/>
  </si>
  <si>
    <t>请确认实际用餐人数并解释说明</t>
    <phoneticPr fontId="4" type="noConversion"/>
  </si>
  <si>
    <t>EN000501</t>
  </si>
  <si>
    <t>办公用品</t>
    <phoneticPr fontId="4" type="noConversion"/>
  </si>
  <si>
    <t>费用超600</t>
    <phoneticPr fontId="4" type="noConversion"/>
  </si>
  <si>
    <t>根据SOP规定，费用超过600元，提供营运部负责人批准邮件</t>
    <phoneticPr fontId="4" type="noConversion"/>
  </si>
  <si>
    <t>EN000502</t>
  </si>
  <si>
    <t>缺少明细</t>
    <phoneticPr fontId="4" type="noConversion"/>
  </si>
  <si>
    <t>根据SOP规定，报销办公用品需提供购买明细</t>
    <phoneticPr fontId="4" type="noConversion"/>
  </si>
  <si>
    <t>EN000601</t>
  </si>
  <si>
    <t>IT配件</t>
    <phoneticPr fontId="4" type="noConversion"/>
  </si>
  <si>
    <t>EN000602</t>
  </si>
  <si>
    <t>根据SOP规定，报销IT配件需提供购买产品明细</t>
    <phoneticPr fontId="4" type="noConversion"/>
  </si>
  <si>
    <t>EN000701</t>
  </si>
  <si>
    <t>快递/货运</t>
    <phoneticPr fontId="4" type="noConversion"/>
  </si>
  <si>
    <t>缺少快递明细or底单</t>
    <phoneticPr fontId="4" type="noConversion"/>
  </si>
  <si>
    <t>根据SOP规定，报销快递费用需提供快递明细单或底单</t>
    <phoneticPr fontId="4" type="noConversion"/>
  </si>
  <si>
    <t>EN000801</t>
  </si>
  <si>
    <t>打印/复印</t>
    <phoneticPr fontId="4" type="noConversion"/>
  </si>
  <si>
    <t>个人卡支付</t>
    <phoneticPr fontId="4" type="noConversion"/>
  </si>
  <si>
    <t>根据SOP规定，个人银行卡支付超过300元，需提供付款记录及带有持卡人姓名的个人卡照片或银行对账单</t>
    <phoneticPr fontId="4" type="noConversion"/>
  </si>
  <si>
    <t>EN000802</t>
  </si>
  <si>
    <t>现金支付</t>
    <phoneticPr fontId="4" type="noConversion"/>
  </si>
  <si>
    <t>“微信零钱”、"支付宝花呗”及“京东白条”支付，系统付款类型应选择“现金”非“个人卡”，需驳回修改</t>
    <phoneticPr fontId="4" type="noConversion"/>
  </si>
  <si>
    <t>已为您系统驳回，请重新提交完成业务审批流程后@通知审核员</t>
    <phoneticPr fontId="4" type="noConversion"/>
  </si>
  <si>
    <t>EN000803</t>
  </si>
  <si>
    <t>根据SOP规定，打印/复印费用≥300元，需提供水单明细</t>
    <phoneticPr fontId="4" type="noConversion"/>
  </si>
  <si>
    <t>EN000901</t>
  </si>
  <si>
    <t>外部会议/培训</t>
  </si>
  <si>
    <t>缺少邀请函</t>
    <phoneticPr fontId="4" type="noConversion"/>
  </si>
  <si>
    <t>根据SOP规定，外部培训需提供邀请函</t>
    <phoneticPr fontId="4" type="noConversion"/>
  </si>
  <si>
    <t>EN000902</t>
  </si>
  <si>
    <t>EN000903</t>
  </si>
  <si>
    <t>EN001001</t>
  </si>
  <si>
    <t>临床杂项</t>
    <phoneticPr fontId="4" type="noConversion"/>
  </si>
  <si>
    <t>未提供临床项目名称</t>
    <phoneticPr fontId="4" type="noConversion"/>
  </si>
  <si>
    <t>根据SOP规定，临床杂项费用报销时需提供临床项目名称</t>
    <phoneticPr fontId="4" type="noConversion"/>
  </si>
  <si>
    <t>EN001002</t>
  </si>
  <si>
    <t>根据SOP规定，临床杂项费用报销时需提供水单</t>
    <phoneticPr fontId="4" type="noConversion"/>
  </si>
  <si>
    <t>EN001003</t>
  </si>
  <si>
    <t>EN001004</t>
  </si>
  <si>
    <t>EN001101</t>
  </si>
  <si>
    <t>杂项开支</t>
    <phoneticPr fontId="4" type="noConversion"/>
  </si>
  <si>
    <t>根据SOP规定，杂项开支费用报销时需提供水单</t>
    <phoneticPr fontId="4" type="noConversion"/>
  </si>
  <si>
    <t>EN001102</t>
  </si>
  <si>
    <t>缺事由说明</t>
    <phoneticPr fontId="4" type="noConversion"/>
  </si>
  <si>
    <t>根据SOP规定，杂项开支费用报销时需提供事由说明</t>
    <phoneticPr fontId="4" type="noConversion"/>
  </si>
  <si>
    <t>请在评论区补充</t>
    <phoneticPr fontId="4" type="noConversion"/>
  </si>
  <si>
    <t>EN001103</t>
  </si>
  <si>
    <t>EN001104</t>
  </si>
  <si>
    <t>EN001201</t>
  </si>
  <si>
    <t>机票</t>
    <phoneticPr fontId="4" type="noConversion"/>
  </si>
  <si>
    <t>缺行程单or发票及订单</t>
    <phoneticPr fontId="4" type="noConversion"/>
  </si>
  <si>
    <t>根据SOP规定，报销机票费用需提供机票行程单或发票及订单</t>
    <phoneticPr fontId="4" type="noConversion"/>
  </si>
  <si>
    <t>请根据要求补充提供，如无法提供请提供财务总监特批</t>
    <phoneticPr fontId="4" type="noConversion"/>
  </si>
  <si>
    <t>EN001202</t>
  </si>
  <si>
    <t>缺携程订单or比价单or特批</t>
    <phoneticPr fontId="4" type="noConversion"/>
  </si>
  <si>
    <t>根据SOP规定，机票费用如是通过携程商旅上预订的，需提供携程订单；未在携程上预订，需要提供当时低
于携程订购价、会议邀请等支持性文件或财务总监审批邮件；</t>
    <phoneticPr fontId="4" type="noConversion"/>
  </si>
  <si>
    <t>请根据要求补充提供</t>
    <phoneticPr fontId="4" type="noConversion"/>
  </si>
  <si>
    <t>EN001301</t>
  </si>
  <si>
    <t>火车</t>
    <phoneticPr fontId="4" type="noConversion"/>
  </si>
  <si>
    <t>火车费用类型错</t>
    <phoneticPr fontId="4" type="noConversion"/>
  </si>
  <si>
    <t>火车发票系统费用类型应选择“火车”，非“交通费出差”等其他费用类型，需系统驳回修改</t>
    <phoneticPr fontId="4" type="noConversion"/>
  </si>
  <si>
    <t>EN001401</t>
  </si>
  <si>
    <t>住宿费</t>
    <phoneticPr fontId="4" type="noConversion"/>
  </si>
  <si>
    <t>缺发票or入住账单</t>
    <phoneticPr fontId="4" type="noConversion"/>
  </si>
  <si>
    <t>根据SOP规定，报销住宿费用需提供发票和酒店入住账单</t>
    <phoneticPr fontId="4" type="noConversion"/>
  </si>
  <si>
    <t>EN001402</t>
  </si>
  <si>
    <t>EN001403</t>
  </si>
  <si>
    <t>EN001404</t>
  </si>
  <si>
    <t>根据SOP规定，住宿如是通过携程商旅上预订的，需提供携程订单；未在携程上预订，需要提供当时低
于携程订购价、会议邀请等支持性文件或财务总监审批邮件；</t>
    <phoneticPr fontId="4" type="noConversion"/>
  </si>
  <si>
    <t>EN001501</t>
  </si>
  <si>
    <t>交通费-出差</t>
    <phoneticPr fontId="4" type="noConversion"/>
  </si>
  <si>
    <t>缺发票or行程</t>
    <phoneticPr fontId="4" type="noConversion"/>
  </si>
  <si>
    <t>根据SOP规定，交通费-出差需提供当日当地的发票（长途汽车、出租车，公共汽车、地铁等），并提供行程</t>
    <phoneticPr fontId="4" type="noConversion"/>
  </si>
  <si>
    <t>EN001502</t>
  </si>
  <si>
    <t>缺少行程单</t>
    <phoneticPr fontId="4" type="noConversion"/>
  </si>
  <si>
    <t>根据SOP规定，交通费-出差报销网约车费用，需提供行程单</t>
    <phoneticPr fontId="4" type="noConversion"/>
  </si>
  <si>
    <t>EN001503</t>
  </si>
  <si>
    <t>EN001601</t>
  </si>
  <si>
    <t>个人汽车里程</t>
  </si>
  <si>
    <t>个人差旅包含HCP费用</t>
    <phoneticPr fontId="4" type="noConversion"/>
  </si>
  <si>
    <t>个人汽车里程属于个人日常和差旅的费用，系统事由说明与费用定义不一致，不符合个人差旅费用要求</t>
    <phoneticPr fontId="4" type="noConversion"/>
  </si>
  <si>
    <t>将为您单笔驳回此费用，请根据要求报销</t>
    <phoneticPr fontId="4" type="noConversion"/>
  </si>
  <si>
    <t>EN001602</t>
  </si>
  <si>
    <t>驻地内个人汽车里程</t>
    <phoneticPr fontId="4" type="noConversion"/>
  </si>
  <si>
    <t>个人汽车里程的行程显示为驻地内，驻地内因业务产生的燃油费应报销在“月度交通费”，如已报满限额，可选择“交通费-市内”，并提供部门负责人的审批</t>
    <phoneticPr fontId="4" type="noConversion"/>
  </si>
  <si>
    <t>EN001701</t>
  </si>
  <si>
    <t>差旅餐费</t>
    <phoneticPr fontId="4" type="noConversion"/>
  </si>
  <si>
    <t>差旅餐费发票日期问题</t>
    <phoneticPr fontId="4" type="noConversion"/>
  </si>
  <si>
    <t>差旅餐费需要提供出差当地当日的发票，您提供的发票发票日期与系统填报的实际费用日期不一致</t>
    <phoneticPr fontId="4" type="noConversion"/>
  </si>
  <si>
    <t>请确认实际费用发生日期，提供正确的发票或小票、付款记录等费用时间证明材料</t>
    <phoneticPr fontId="4" type="noConversion"/>
  </si>
  <si>
    <t>EN001702</t>
  </si>
  <si>
    <t>差旅餐费超标</t>
    <phoneticPr fontId="4" type="noConversion"/>
  </si>
  <si>
    <t>差旅餐费限额200元/天/人，您当日已报销一笔用餐费用，差旅餐费限额100元，需扣除差额费用</t>
    <phoneticPr fontId="4" type="noConversion"/>
  </si>
  <si>
    <t>请确认后为您扣除差额费用</t>
    <phoneticPr fontId="4" type="noConversion"/>
  </si>
  <si>
    <t>EN001703</t>
  </si>
  <si>
    <t>差旅餐费限额200元/天/人，您当日已报销两笔用餐费用，差旅餐费限额0元，需扣除差额费用</t>
    <phoneticPr fontId="4" type="noConversion"/>
  </si>
  <si>
    <t>EN001801</t>
  </si>
  <si>
    <t>其他差旅费用</t>
  </si>
  <si>
    <t>费用类型错误</t>
    <phoneticPr fontId="4" type="noConversion"/>
  </si>
  <si>
    <t>根据SOP规定，过路费、退票费等费用需报销在“其他差旅费用”中</t>
    <phoneticPr fontId="4" type="noConversion"/>
  </si>
  <si>
    <t>EN001901</t>
  </si>
  <si>
    <t>团队建设</t>
  </si>
  <si>
    <t>缺水单明细（超300）</t>
    <phoneticPr fontId="4" type="noConversion"/>
  </si>
  <si>
    <t>根据SOP规定，该费用≥300元，需提供水单明细</t>
    <phoneticPr fontId="4" type="noConversion"/>
  </si>
  <si>
    <t>EN001902</t>
  </si>
  <si>
    <t>EN001903</t>
  </si>
  <si>
    <t>EN001904</t>
  </si>
  <si>
    <t>缺少明细（商超）</t>
    <phoneticPr fontId="4" type="noConversion"/>
  </si>
  <si>
    <t>EN002001</t>
  </si>
  <si>
    <t>内部会议/活动</t>
  </si>
  <si>
    <t>根据SOP规定，费用≥300元，需提供水单明细</t>
    <phoneticPr fontId="4" type="noConversion"/>
  </si>
  <si>
    <t>EN002002</t>
  </si>
  <si>
    <t>EN002003</t>
  </si>
  <si>
    <t>缺会议议程</t>
    <phoneticPr fontId="4" type="noConversion"/>
  </si>
  <si>
    <t>根据SOP规定，报销内部活动/会议费用需提供会议议程（包括时间、地点、主题等）</t>
    <phoneticPr fontId="4" type="noConversion"/>
  </si>
  <si>
    <t>请提供符合要求的会议议程</t>
    <phoneticPr fontId="4" type="noConversion"/>
  </si>
  <si>
    <t>EN002004</t>
  </si>
  <si>
    <t>EN002005</t>
  </si>
  <si>
    <t>EN002006</t>
  </si>
  <si>
    <t>参会人问题</t>
    <phoneticPr fontId="4" type="noConversion"/>
  </si>
  <si>
    <t>根据SOP规定，内部活动/会议参与人仅有公司内部员工，您系统填报的参与人不符合要求</t>
    <phoneticPr fontId="4" type="noConversion"/>
  </si>
  <si>
    <t>请确认</t>
    <phoneticPr fontId="4" type="noConversion"/>
  </si>
  <si>
    <t>EN002101</t>
  </si>
  <si>
    <t>内部会议-礼品/奖品</t>
  </si>
  <si>
    <t>EN002102</t>
  </si>
  <si>
    <t>EN002103</t>
  </si>
  <si>
    <t>EN002104</t>
  </si>
  <si>
    <t>内部会议-礼品/奖品</t>
    <phoneticPr fontId="4" type="noConversion"/>
  </si>
  <si>
    <t>缺签收单</t>
    <phoneticPr fontId="4" type="noConversion"/>
  </si>
  <si>
    <t>根据SOP规定，报销礼品/奖品需提供签收单（包含姓名、品名、单价、数量、总额、签收人签字）</t>
    <phoneticPr fontId="4" type="noConversion"/>
  </si>
  <si>
    <t>EN002105</t>
  </si>
  <si>
    <t>礼品类别问题</t>
    <phoneticPr fontId="4" type="noConversion"/>
  </si>
  <si>
    <t>根据SOP规定，礼品或奖品不得包括礼品卡、购物卡等，此笔费用不符合要求，不予报销</t>
    <phoneticPr fontId="4" type="noConversion"/>
  </si>
  <si>
    <t>请确认后为您扣除此笔费用</t>
    <phoneticPr fontId="4" type="noConversion"/>
  </si>
  <si>
    <t>EN002106</t>
  </si>
  <si>
    <t>礼品金额超标</t>
    <phoneticPr fontId="4" type="noConversion"/>
  </si>
  <si>
    <t>根据SOP规定，报销礼品/奖品超过该类型下的标准限额，不予报销</t>
    <phoneticPr fontId="4" type="noConversion"/>
  </si>
  <si>
    <t>EN002201</t>
  </si>
  <si>
    <t>早餐</t>
    <phoneticPr fontId="4" type="noConversion"/>
  </si>
  <si>
    <t>EN002202</t>
  </si>
  <si>
    <t>EN002203</t>
  </si>
  <si>
    <t>EN002204</t>
  </si>
  <si>
    <t>EN002205</t>
  </si>
  <si>
    <t>超人均300元（客户/供应商）</t>
    <phoneticPr fontId="4" type="noConversion"/>
  </si>
  <si>
    <t>根据SOP规定，员工为招待第三方客户或供应商支付的餐费，不应超过人均 300 元。如有超过上述标准的特殊情
况，需获得部门负责人的审批。</t>
    <phoneticPr fontId="4" type="noConversion"/>
  </si>
  <si>
    <t>EN002206</t>
  </si>
  <si>
    <t>超人均300元（HCP/政府官员）</t>
    <phoneticPr fontId="4" type="noConversion"/>
  </si>
  <si>
    <t>根据SOP规定，员工为招待HCP或政府官员支付的餐费，不应超过人均 300 元。如有超过上述标准的特殊情
况，需获得部门负责人和合规部负责人的共同审批。</t>
    <phoneticPr fontId="4" type="noConversion"/>
  </si>
  <si>
    <t>EN002207</t>
  </si>
  <si>
    <t>业务招待无内部员工</t>
    <phoneticPr fontId="4" type="noConversion"/>
  </si>
  <si>
    <t>根据SOP规定，业务招待的参与人需有（内部）+（外部），您的业务招待不符合要求，不予报销</t>
    <phoneticPr fontId="4" type="noConversion"/>
  </si>
  <si>
    <t>请确认后为您扣除该笔费用</t>
    <phoneticPr fontId="4" type="noConversion"/>
  </si>
  <si>
    <t>EN002301</t>
  </si>
  <si>
    <t>午餐</t>
    <phoneticPr fontId="4" type="noConversion"/>
  </si>
  <si>
    <t>EN002302</t>
  </si>
  <si>
    <t>EN002303</t>
  </si>
  <si>
    <t>EN002304</t>
  </si>
  <si>
    <t>EN002305</t>
  </si>
  <si>
    <t>EN002306</t>
  </si>
  <si>
    <t>EN002307</t>
  </si>
  <si>
    <t>EN002401</t>
  </si>
  <si>
    <t>晚餐</t>
    <phoneticPr fontId="4" type="noConversion"/>
  </si>
  <si>
    <t>EN002402</t>
  </si>
  <si>
    <t>EN002403</t>
  </si>
  <si>
    <t>EN002404</t>
  </si>
  <si>
    <t>EN002405</t>
  </si>
  <si>
    <t>EN002406</t>
  </si>
  <si>
    <t>EN002407</t>
  </si>
  <si>
    <t>EN002501</t>
  </si>
  <si>
    <t>夜宵</t>
    <phoneticPr fontId="4" type="noConversion"/>
  </si>
  <si>
    <t>EN002502</t>
  </si>
  <si>
    <t>EN002503</t>
  </si>
  <si>
    <t>EN002504</t>
  </si>
  <si>
    <t>EN002505</t>
  </si>
  <si>
    <t>EN002506</t>
  </si>
  <si>
    <t>EN002507</t>
  </si>
  <si>
    <t>EN002601</t>
  </si>
  <si>
    <t>下午茶</t>
    <phoneticPr fontId="4" type="noConversion"/>
  </si>
  <si>
    <t>EN002602</t>
  </si>
  <si>
    <t>EN002603</t>
  </si>
  <si>
    <t>EN002604</t>
  </si>
  <si>
    <t>EN002605</t>
  </si>
  <si>
    <t>EN002606</t>
  </si>
  <si>
    <t>EN002607</t>
  </si>
  <si>
    <t>EN002701</t>
  </si>
  <si>
    <t>业务招待-礼品</t>
  </si>
  <si>
    <t>EN002702</t>
  </si>
  <si>
    <t>EN002703</t>
  </si>
  <si>
    <t>EN002704</t>
  </si>
  <si>
    <t>EN002705</t>
  </si>
  <si>
    <t>EN002706</t>
  </si>
  <si>
    <t>缺审批</t>
    <phoneticPr fontId="4" type="noConversion"/>
  </si>
  <si>
    <t>根据SOP规定，礼品或奖品需提供部门负责人批准邮件</t>
    <phoneticPr fontId="4" type="noConversion"/>
  </si>
  <si>
    <t>EN002801</t>
  </si>
  <si>
    <t>员工工作手机购机款</t>
  </si>
  <si>
    <t>手机款超标</t>
    <phoneticPr fontId="4" type="noConversion"/>
  </si>
  <si>
    <t>根据SOP规定，手机购机款报销上限金额为5000元</t>
    <phoneticPr fontId="4" type="noConversion"/>
  </si>
  <si>
    <t>EN002802</t>
  </si>
  <si>
    <t>EN002803</t>
  </si>
  <si>
    <t>EN002804</t>
  </si>
  <si>
    <t>缺申购单</t>
    <phoneticPr fontId="4" type="noConversion"/>
  </si>
  <si>
    <t>根据SOP规定，报销购机款系统提供申购单</t>
    <phoneticPr fontId="4" type="noConversion"/>
  </si>
  <si>
    <t>EN002805</t>
  </si>
  <si>
    <t>购买时间早于申购单</t>
    <phoneticPr fontId="4" type="noConversion"/>
  </si>
  <si>
    <t>根据SOP规定，购买手机的时间不得早于申购单的审批时间，此笔费用不符合要求，不予报销</t>
    <phoneticPr fontId="4" type="noConversion"/>
  </si>
  <si>
    <t>EN002901</t>
  </si>
  <si>
    <t>小型医学沟通会餐费</t>
  </si>
  <si>
    <t>EN002902</t>
  </si>
  <si>
    <t>EN002903</t>
  </si>
  <si>
    <t>EN002904</t>
  </si>
  <si>
    <t>根据SOP规定，报销小沟会需提供会议议程（包括时间、地点、主题等）</t>
    <phoneticPr fontId="4" type="noConversion"/>
  </si>
  <si>
    <t>EN002905</t>
  </si>
  <si>
    <t>超人均150元</t>
    <phoneticPr fontId="4" type="noConversion"/>
  </si>
  <si>
    <t>根据SOP规定，小沟会会议餐费人均不可超过150元，如需全额报销，需提供部门负责人和合规部负责人的共同审批</t>
    <phoneticPr fontId="4" type="noConversion"/>
  </si>
  <si>
    <t>请提供特批邮件或我们帮您扣除超额部分</t>
    <phoneticPr fontId="4" type="noConversion"/>
  </si>
  <si>
    <t>EN002906</t>
  </si>
  <si>
    <t>外部参会人超标</t>
    <phoneticPr fontId="4" type="noConversion"/>
  </si>
  <si>
    <t>根据SOP规定，小沟会外部参会者不得超过3人</t>
    <phoneticPr fontId="4" type="noConversion"/>
  </si>
  <si>
    <t>EN002907</t>
  </si>
  <si>
    <t>缺餐厅门头照</t>
    <phoneticPr fontId="4" type="noConversion"/>
  </si>
  <si>
    <t>根据SOP规定，报销会议餐费需提供餐厅门头照</t>
    <phoneticPr fontId="4" type="noConversion"/>
  </si>
  <si>
    <t>EN002908</t>
  </si>
  <si>
    <t>会议餐费形式</t>
    <phoneticPr fontId="4" type="noConversion"/>
  </si>
  <si>
    <t>根据SOP规定，小沟会会议餐费应为午餐会或晚餐会形式，您报销的餐费内部不符合要求</t>
    <phoneticPr fontId="4" type="noConversion"/>
  </si>
  <si>
    <t>请解释说明</t>
    <phoneticPr fontId="4" type="noConversion"/>
  </si>
  <si>
    <t>EN003001</t>
  </si>
  <si>
    <t>培训费</t>
  </si>
  <si>
    <t>EN003002</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</si>
  <si>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</si>
  <si>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</si>
  <si>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</si>
  <si>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</si>
  <si>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</si>
  <si>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</si>
  <si>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</si>
  <si>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</si>
  <si>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</si>
  <si>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</si>
  <si>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</si>
  <si>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</si>
  <si>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</si>
  <si>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</si>
  <si>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</si>
  <si>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</si>
  <si>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</si>
  <si>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</si>
  <si>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</si>
  <si>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</si>
  <si>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</si>
  <si>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</si>
  <si>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</si>
  <si>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</si>
  <si>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</si>
  <si>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</si>
  <si>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</si>
  <si>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</si>
  <si>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</si>
  <si>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</si>
  <si>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</si>
  <si>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根据SOP规定，学术论坛可举办的组织者岗位为地区业务销售经理及以上、市场、医学、临床运营、市场准入和商务，您无权限举办此类型会议</t>
  </si>
  <si>
    <t>请提供逐级审批至部门负责人的授权邮件并抄送合规</t>
  </si>
  <si>
    <t>学会活动变更会议时间、会议地点需提供企业微信变更流程或变更审批邮件</t>
  </si>
  <si>
    <t>请提供</t>
  </si>
  <si>
    <t>会议议程内容与系统填报的实际会议情况不一致</t>
  </si>
  <si>
    <t>请确认并提供更新的会议议程</t>
  </si>
  <si>
    <t>会议议程需包含会议日期、会议开展时间、会议地点、会议内容、演讲主题和演讲人</t>
  </si>
  <si>
    <t>请补充提供</t>
  </si>
  <si>
    <t>根据SOP规定，学术论坛会议时长需≥ 半天（2-4H）</t>
  </si>
  <si>
    <t>请确认</t>
  </si>
  <si>
    <t>根据SOP规定，原则上若全部参会人来自同一城市，学术活动地点不应跨行政区域，特殊情况需得到上级直属领导事前审批</t>
  </si>
  <si>
    <t>根据SOP规定，禁止在景区名胜或铺张奢侈的地点举办或参加会议</t>
  </si>
  <si>
    <t>不符合要求不予报销</t>
  </si>
  <si>
    <t>根据SOP规定，禁止在水疗会所、温泉、度假、滑雪、高尔夫、赌博、邮轮、洗浴中心、KTV娱乐及以以上为主业的场所举办学术活动或进行业务招待活动</t>
  </si>
  <si>
    <t>系统实际内外部参会人数与签到表不一致</t>
  </si>
  <si>
    <t>请确认实际内外部参会人数，并解释说明</t>
  </si>
  <si>
    <t>根据SOP规定，整场会议未使用电子签到单需提供逐级审批至部门负责人的审批邮件</t>
  </si>
  <si>
    <t>根据SOP规定，线下签到单原件需邮寄至我司</t>
  </si>
  <si>
    <t>请将原件邮寄至我司，邮寄后提供快递单号</t>
  </si>
  <si>
    <t>根据SOP规定，线下签到表下方的“负责与会医疗专业人士的内部员工签字（确认以上签字及备注属实）”和“直线经理签字（确认以上签字及代表说明复核公司要求）”需相应负责人签字</t>
  </si>
  <si>
    <t>将为您寄回线下签到表，请补充签字后原件寄回我司</t>
  </si>
  <si>
    <t>根据SOP规定，会议照片需使用水印相机拍摄活动现场照片，并注明活动时间、活动地点、活动主题</t>
  </si>
  <si>
    <t>请补充提供，如不符合要求将不予报销</t>
  </si>
  <si>
    <t>根据SOP规定，会议照片需体现并反映会议主题（如PPT标题、横幅、易拉宝等），且照片中的会议主题需清洗</t>
  </si>
  <si>
    <t>根据SOP规定，付费讲者需提供正面清晰演讲照片，照片应体现付费讲者和一张会议幻灯稿同框的场景，要求可识别付费讲者并能体现所参加会议</t>
  </si>
  <si>
    <t>根据SOP规定，会议照片水印所反映拍摄时间与会议议程相一致</t>
  </si>
  <si>
    <t>根据SOP规定，学术论坛会议照片需显示50%及以上参会人员（内+外）</t>
  </si>
  <si>
    <t>根据SOP规定，学术论坛内部参会者不可少于2人（包含会议组织者）</t>
  </si>
  <si>
    <t>请确认实际内部参会人数</t>
  </si>
  <si>
    <t>根据SOP规定，学术论坛外部外部参会者可以跨城市、跨医院、跨科室的HCP共同参与，外部参会人数不少于5人</t>
  </si>
  <si>
    <t>请确认实际外部参会人数</t>
  </si>
  <si>
    <t>根据SOP规定，原则上公司仅承担学术活动会议议程前后24小时内所产生的相关费用，例外事项需提供部门负责人及合规审计总监的共同批准</t>
  </si>
  <si>
    <t>如需报销请提供特批</t>
  </si>
  <si>
    <t>根据SOP规定，学术论坛可报销费用有讲课费、餐饮、住宿费、场租和交通费</t>
  </si>
  <si>
    <t>额外费用不予报销已为您扣除</t>
  </si>
  <si>
    <t>非讲者库讲者</t>
  </si>
  <si>
    <t>根据SOP规定，报销讲课费的讲者必须是讲者库中的讲者，且不能在会议结束后特批补入库</t>
  </si>
  <si>
    <t>不符合要求不予支付讲课费</t>
  </si>
  <si>
    <t>业务约定书不完整</t>
  </si>
  <si>
    <t>根据SOP规定，业务约定书需完整正确的填写，并由HCP签字后将完整原件邮寄至我司</t>
  </si>
  <si>
    <t>讲者人数超标</t>
  </si>
  <si>
    <t>根据SOP规定，支付讲课费的人数不应超过外部参会总人数的20%</t>
  </si>
  <si>
    <t>请确认，并告知需扣除讲课费的HCP姓名</t>
  </si>
  <si>
    <t>主席和点评嘉宾人数超标</t>
  </si>
  <si>
    <t>根据SOP规定，支付讲课费的主席和点评专家的总数不得超过讲者总数</t>
  </si>
  <si>
    <t>讲者未全程参会</t>
  </si>
  <si>
    <t>根据SOP规定，支付讲课费的专家需全程参会，并签到</t>
  </si>
  <si>
    <t>请补充提供签到，不符合要求不予支付讲课费</t>
  </si>
  <si>
    <t>演讲时长不达标</t>
  </si>
  <si>
    <t>根据SOP规定，学术论坛讲者讲课时间（包括手术演示、讨论问答）需≥20分钟</t>
  </si>
  <si>
    <t>点评时长不达标</t>
  </si>
  <si>
    <t>根据SOP规定，学术论坛点评专家限全国级和区域级HCP，且点评时长累计需≥10分钟，</t>
  </si>
  <si>
    <t>点评专家讲课费标准</t>
  </si>
  <si>
    <t>根据SOP规定，学术论坛点评专家的讲课费支付标准为80%*职级标准</t>
  </si>
  <si>
    <t>将为您扣除差额</t>
  </si>
  <si>
    <t>主席参会时长</t>
  </si>
  <si>
    <t>根据SOP规定，学术论坛主席限全国级和区域级HCP中主任医师、副主任医师,且原则上应全程参加活动并致辞发言，</t>
  </si>
  <si>
    <t>缺餐厅门头照</t>
  </si>
  <si>
    <t>根据SOP规定，会议餐费需提供餐厅门头照</t>
  </si>
  <si>
    <t>餐费与会议时间不相连</t>
  </si>
  <si>
    <t>根据SOP规定，会议餐费用餐时间应与会议时间相连，且与正常午餐或晚餐时间相近</t>
  </si>
  <si>
    <t>请解释说明</t>
  </si>
  <si>
    <t>会议餐费超人均</t>
  </si>
  <si>
    <t>根据SOP规定，会议餐费，不应超过人均 300 元。如有超过上述标准的特殊情况，需获得部门负责人的审批</t>
  </si>
  <si>
    <t>缺少水单</t>
  </si>
  <si>
    <t>根据SOP规定，会议餐费≥300元，需提供水单明细</t>
  </si>
  <si>
    <t>请将水单原件邮寄至我司，并将水单照片或扫描件补充上传至评论区</t>
  </si>
  <si>
    <t>个人卡支付</t>
  </si>
  <si>
    <t>根据SOP规定，个人银行卡支付超过300元，需提供付款记录及带有持卡人姓名的个人卡照片或银行对账单</t>
  </si>
  <si>
    <t>现金支付</t>
  </si>
  <si>
    <t>“微信零钱”、"支付宝花呗”及“京东白条”支付，系统付款类型应选择“现金”非“个人卡”，需驳回修改</t>
  </si>
  <si>
    <t>已为您系统驳回，请重新提交完成业务审批流程后@通知审核员</t>
  </si>
  <si>
    <t>HCP飞机标准</t>
  </si>
  <si>
    <t>根据SOP规定，HCP乘坐飞机，需选择经济舱，单程飞行时间超出8小时可提供商务舱。高于上述标准的交通需事前经业务部负责人、合规审计部负责人及 CEO书面批准。</t>
  </si>
  <si>
    <t>会议租车明细</t>
  </si>
  <si>
    <t>根据SOP规定，租车费用，提供详细行程单，包含：日期、接送人具体时间、客人姓名/电话、行程起点详细地址、送达详细地址、车型、金额等信息</t>
  </si>
  <si>
    <t>HCP火车标准</t>
  </si>
  <si>
    <t>根据SOP规定，HCP火车出行不得提供商务舱坐席，高于上述标准的交通需事前经业务部负责人、合规审计部负责人及 CEO书面批准。</t>
  </si>
  <si>
    <t>无会议的茶歇</t>
  </si>
  <si>
    <t>根据SOP规定，会议茶歇不得独立于会议之外提供</t>
  </si>
  <si>
    <t>超市、商场或水果市场购买费用</t>
  </si>
  <si>
    <t>根据SOP规定，超市、商场或水果市场购买的费用，需要提供明细</t>
  </si>
  <si>
    <t>HCP住宿标准</t>
  </si>
  <si>
    <t>根据SOP规定，提供HCP的住宿费北上广深不得超过1000元/人/晚，其他城市不超过750元/人/晚，海外城市不超过2000元/人/晚，高于上述标准的住宿费需事前获得业务部负责人和合规审计部负责人的书面批准</t>
  </si>
  <si>
    <t>根据SOP规定，线上患教可举办的组织者岗位为地区业务销售经理、医药代表、市场和商务，您无权限举办此类型会议</t>
  </si>
  <si>
    <t>根据SOP规定，线下患教可举办的组织者岗位为地区业务销售经理、市场和商务，您无权限举办此类型会议</t>
  </si>
  <si>
    <t>根据SOP规定，混合患教可举办的组织者岗位为地区业务销售经理、市场和商务，您无权限举办此类型会议</t>
  </si>
  <si>
    <t>根据SOP规定，患者教育HCP讲课时长需≥20分钟</t>
  </si>
  <si>
    <t>根据SOP规定，线下患教会议照片需使用水印相机拍摄活动现场照片，并注明活动时间、活动地点、活动主题</t>
  </si>
  <si>
    <t>根据SOP规定，线下患者教育会议照片需显示50%参会人员（内+外）</t>
  </si>
  <si>
    <t>根据SOP规定，线上患者教育会议照片需显示课件名称及讲者画面</t>
  </si>
  <si>
    <t>根据SOP规定，患者教育内部参会者需≥1人（包含会议组织者）</t>
  </si>
  <si>
    <t>根据SOP规定，患者教育外部参会者需≥5人</t>
  </si>
  <si>
    <t>根据SOP规定，患者教育可报销费用有讲课费、餐饮、交通</t>
  </si>
  <si>
    <t>线上患者听课时长</t>
  </si>
  <si>
    <t>根据SOP规定，线上患者教育患者累计听课时长需≥10分钟</t>
  </si>
  <si>
    <t>线下患者听课时长</t>
  </si>
  <si>
    <t>根据SOP规定，线下患者教育患者需全程参加</t>
  </si>
  <si>
    <t>混合患教听课时长</t>
  </si>
  <si>
    <t>根据SOP规定，混合患者教育线上患者的累计听课时长需≥10分钟，线下患者需全程参加。</t>
  </si>
  <si>
    <t>根据SOP规定，院内会可举办的组织者岗位为医药代表、地区业务销售经理，您无权限举办此类型会议</t>
  </si>
  <si>
    <t>根据SOP规定，院内会会议时长需≥20分钟</t>
  </si>
  <si>
    <t>根据SOP规定，院内会会议照片需显示100%外部参会人员</t>
  </si>
  <si>
    <t>根据SOP规定，院内会内部参会者需≥1人（含会议组织者）</t>
  </si>
  <si>
    <t>根据SOP规定，院内会仅允许报销会议餐饮费</t>
  </si>
  <si>
    <t>学术论坛</t>
  </si>
  <si>
    <t>会议讲课费</t>
  </si>
  <si>
    <t>会议餐费</t>
  </si>
  <si>
    <t>会议交通费</t>
  </si>
  <si>
    <t>会议租车费</t>
  </si>
  <si>
    <t>会议火车票</t>
  </si>
  <si>
    <t>会议茶歇</t>
  </si>
  <si>
    <t>会议场租</t>
  </si>
  <si>
    <t>会议个人车辆</t>
  </si>
  <si>
    <t>会议推广材料制作</t>
  </si>
  <si>
    <t>会议住宿费</t>
  </si>
  <si>
    <t>会议杂项开支</t>
  </si>
  <si>
    <t>患者教育</t>
  </si>
  <si>
    <t>院内会</t>
  </si>
  <si>
    <t>总计</t>
  </si>
  <si>
    <t>计数项:Issue Code</t>
  </si>
  <si>
    <t>Meeting Code</t>
  </si>
  <si>
    <t>会议类型</t>
  </si>
  <si>
    <t>Expense Code</t>
  </si>
  <si>
    <t>费用类型</t>
  </si>
  <si>
    <t>个人</t>
  </si>
  <si>
    <t>电话费</t>
  </si>
  <si>
    <t>工作餐</t>
  </si>
  <si>
    <t>办公用品</t>
  </si>
  <si>
    <t>IT配件</t>
  </si>
  <si>
    <t>快递/货运</t>
  </si>
  <si>
    <t>打印/复印</t>
  </si>
  <si>
    <t>临床杂项</t>
  </si>
  <si>
    <t>杂项开支</t>
  </si>
  <si>
    <t>机票</t>
  </si>
  <si>
    <t>火车</t>
  </si>
  <si>
    <t>住宿费</t>
  </si>
  <si>
    <t>交通费-出差</t>
  </si>
  <si>
    <t>差旅餐费</t>
  </si>
  <si>
    <t>早餐</t>
  </si>
  <si>
    <t>午餐</t>
  </si>
  <si>
    <t>晚餐</t>
  </si>
  <si>
    <t>夜宵</t>
  </si>
  <si>
    <t>下午茶</t>
  </si>
  <si>
    <t>Issue Code</t>
  </si>
  <si>
    <t>问题类型</t>
  </si>
  <si>
    <t>SOP描述</t>
  </si>
  <si>
    <t>标准处理方法</t>
  </si>
  <si>
    <t>会议权限_学术论坛</t>
  </si>
  <si>
    <t>会议议程_变更</t>
  </si>
  <si>
    <t>会议议程_不一致</t>
  </si>
  <si>
    <t>会议议程_不完整</t>
  </si>
  <si>
    <t>会议议程_时长不足</t>
  </si>
  <si>
    <t>会议地点_不得跨区</t>
  </si>
  <si>
    <t>会议地点_禁止景区</t>
  </si>
  <si>
    <t>会议地点_禁止场所</t>
  </si>
  <si>
    <t>会议签到_系统人数不一致</t>
  </si>
  <si>
    <t>会议签到_整场未电子签到</t>
  </si>
  <si>
    <t>会议签到_缺线下签到原件</t>
  </si>
  <si>
    <t>会议签到_线下签到缺审批</t>
  </si>
  <si>
    <t>会议照片_缺水印</t>
  </si>
  <si>
    <t>会议照片_缺会议主题</t>
  </si>
  <si>
    <t>会议照片_缺付费讲者</t>
  </si>
  <si>
    <t>会议照片_水印与议程不一致</t>
  </si>
  <si>
    <t>会议照片_人数标准不符</t>
  </si>
  <si>
    <t>会议人数_内部人数不符</t>
  </si>
  <si>
    <t>会议人数_外部人数不符</t>
  </si>
  <si>
    <t>报销范围_时效</t>
  </si>
  <si>
    <t>报销范围_费用</t>
  </si>
  <si>
    <t>会议权限_线上患教</t>
  </si>
  <si>
    <t>会议权限_线下患教</t>
  </si>
  <si>
    <t>会议权限_混合患教</t>
  </si>
  <si>
    <t>会议照片_缺照片水印</t>
  </si>
  <si>
    <t>会议照片_线下会议人数标准不符</t>
  </si>
  <si>
    <t>会议照片_缺线上会议截图</t>
  </si>
  <si>
    <t>根据SOP规定，院内会会议餐费，不应超过人均 100元。如有超过上述标准的特殊情况，需获得部门负责人和合规部负责人的审批</t>
  </si>
  <si>
    <t>会议权限_院内会</t>
  </si>
  <si>
    <t>会议地点_限院内</t>
  </si>
  <si>
    <t>根据SOP规定，院内会地点仅限院内，不复核要求不予报销</t>
  </si>
  <si>
    <t>已为您扣除</t>
  </si>
  <si>
    <t>会议茶歇超人均</t>
  </si>
  <si>
    <t>根据SOP规定，院内会议茶歇与会议餐费合计金额，不应超过人均 100元。如有超过上述标准的特殊情况，需获得部门负责人和合规部负责人的审批</t>
  </si>
  <si>
    <t>多学科专家研讨会</t>
  </si>
  <si>
    <t>根据SOP规定，多学科专家研讨会讲者讲课时间（包括手术演示、讨论问答）需≥20分钟</t>
  </si>
  <si>
    <t>根据SOP规定，多学科专家研讨会点评专家点评时长累计需≥10分钟，且必须具体体现在会议日程中</t>
  </si>
  <si>
    <t>根据SOP规定，多学科专家研讨会点评专家的讲课费支付标准为80%*职级标准，但不得超过1000元</t>
  </si>
  <si>
    <t>根据SOP规定，多学科专家研讨会主席原则上应全程参加会议并致辞发言</t>
  </si>
  <si>
    <t>根据SOP规定，多学科专家研讨会付费点评专家需提供签字的MDT点评记录</t>
  </si>
  <si>
    <t>会议权限_多学科专家研讨会</t>
  </si>
  <si>
    <t>根据SOP规定，多学科专家研讨会可举办的组织者岗位为市场、医学和大区业务销售经理级以上，您无权限举办此类型会议</t>
  </si>
  <si>
    <t>根据SOP规定，多学科专家研讨会会议时长需≥ 半天（2-4H）</t>
  </si>
  <si>
    <t>根据SOP规定，多学科专家研讨会会议照片需显示50%及以上参会人员（内+外）</t>
  </si>
  <si>
    <t>根据SOP规定，多学科专家研讨会内部参会者不可少于2人（包含会议组织者）</t>
  </si>
  <si>
    <t>根据SOP规定，多学科专家研讨会可报销费用有讲课费、餐饮、住宿费、场租和交通费</t>
  </si>
  <si>
    <t>三方会-支持</t>
  </si>
  <si>
    <t>根据SOP规定，三方会-支持可举办的组织者岗位为地区业务销售经理及以上、市场和医学，您无权限举办此类型会议</t>
  </si>
  <si>
    <t>会议签到_第三方大会签到</t>
  </si>
  <si>
    <t>根据SOP规定，所支持HCP签到为第三方大会签到，需提供大会邀请确认函</t>
  </si>
  <si>
    <t>根据SOP规定，非第三方大会的线下签到单原件需邮寄至我司</t>
  </si>
  <si>
    <t>会议照片_缺支持HCP</t>
  </si>
  <si>
    <t>根据SOP规定，会议照片应显示所支持HCP</t>
  </si>
  <si>
    <t>根据SOP规定，三方会-支持内部参会者不可少于1人（包含会议组织者）</t>
  </si>
  <si>
    <t>根据SOP规定，学术论坛可报销费用有餐饮、住宿费和交通费</t>
  </si>
  <si>
    <t>培训会</t>
  </si>
  <si>
    <t>根据SOP规定，培训会讲者人数与参会人数比例比低于1:5</t>
  </si>
  <si>
    <t>根据SOP规定，培训会若采取老师授课形式，则演讲时间不少于20分钟</t>
  </si>
  <si>
    <t>根据SOP规定，培训会若采取点评、指导或辅导形式，老师累计点评时间不得少于10分钟</t>
  </si>
  <si>
    <t>讲课费标准</t>
  </si>
  <si>
    <t>根据SOP规定，培训会若采取点评、指导或辅导形式，讲课费支付标准为80%*职级标准</t>
  </si>
  <si>
    <t>讲者级别</t>
  </si>
  <si>
    <t>根据SOP规定，培训会点评专家限全国级和区域级HCP</t>
  </si>
  <si>
    <t>根据SOP规定，培训会可举办的组织者岗位为市场部经理及以上级别和大区业务销售经理及以上，您无权限举办此类型会议</t>
  </si>
  <si>
    <t>根据SOP规定，培训会会议时长需≥ 半天（2-4H）</t>
  </si>
  <si>
    <t>根据SOP规定，培训会会议照片需显示50%及以上参会人员（内+外）</t>
  </si>
  <si>
    <t>根据SOP规定，培训会内部参与培训人员不得低于5人</t>
  </si>
  <si>
    <t>根据SOP规定，培训会可报销费用有讲课费、餐饮、住宿费、场租和交通费</t>
  </si>
  <si>
    <t>临床研究-临床试验启动会</t>
  </si>
  <si>
    <t>根据SOP规定，会议餐费用餐时间应与会议时间相连，且为工作餐或小食性质</t>
  </si>
  <si>
    <t>根据SOP规定，会议餐费，不应超过人均200 元。如有超过上述标准的特殊情况，需获得部门负责人的审批</t>
  </si>
  <si>
    <t>根据SOP规定，临床研究-临床研究启动会可举办的组织者岗位为临床研究专员、医学副经理及以上人员，您无权限举办此类型会议</t>
  </si>
  <si>
    <t>根据SOP规定，临床研究-临床研究启动会会议时长不超过1天</t>
  </si>
  <si>
    <t>根据SOP规定，会议地点仅限于研究中心内相关会议场所</t>
  </si>
  <si>
    <t>请将原件邮寄至我司，邮寄后提供快递单号，如有特殊情况请告知</t>
  </si>
  <si>
    <t>根据SOP规定，临床研究-临床研究启动会内部参会者不可少于2人（包含会议组织者），内外比例不超过1:5</t>
  </si>
  <si>
    <t>根据SOP规定，临床研究-临床研究启动会外部参会者可为合作研究中心研究者、研究护士及参与研究等相关人员，人数不限，但内外比例不超过1:5</t>
  </si>
  <si>
    <t>请确认实际外部参会人</t>
  </si>
  <si>
    <t>根据SOP规定，临床研究-临床研究启动会可报销费用为餐费</t>
  </si>
  <si>
    <t>专家咨询会</t>
  </si>
  <si>
    <t>专家咨询费</t>
  </si>
  <si>
    <t>根据SOP规定，报销咨询费的讲者必须是讲者库中的讲者，且不能在会议结束后特批补入库</t>
  </si>
  <si>
    <t>根据SOP规定，咨询服务协议需完整正确的填写，并由HCP签字后将完整原件邮寄至我司</t>
  </si>
  <si>
    <t>根据SOP规定，支付咨询费的人数不应超过2人</t>
  </si>
  <si>
    <t>根据SOP规定，专家咨询会每名专家咨询时长需≥30分钟，且至少讨论6个问题</t>
  </si>
  <si>
    <t>专家咨询记录</t>
  </si>
  <si>
    <t>根据SOP规定，专家咨询会需提供专家签字紫安琪的咨询记录</t>
  </si>
  <si>
    <t>根据SOP规定，专家咨询会可举办的组织者岗位为临床运营部门副经理及以上人员、临床研究专员、医学副经理及以上人员、临床科学经理及以上人员，您无权限举办此类型会议</t>
  </si>
  <si>
    <t>根据SOP规定，专家咨询会会议时长需≥ 30分钟且至少讨论6个问题</t>
  </si>
  <si>
    <t>根据SOP规定，专家咨询会不少于3张现场照片，要求能够体现出内外部参会者及咨询主题</t>
  </si>
  <si>
    <t>根据SOP规定，专家咨询会会议照片需显示50%及以上参会人员（内+外）</t>
  </si>
  <si>
    <t>根据SOP规定，专家咨询会内部参会者不可少于2人（包含会议组织者）</t>
  </si>
  <si>
    <t>会议人数_外部参会人</t>
  </si>
  <si>
    <t>根据SOP规定，专家咨询会外部外部参会者人数不超过2人，仅限限全国级和区域级HCP</t>
  </si>
  <si>
    <t>根据SOP规定，专家咨询会可报销费用有咨询费、餐饮、住宿、场租、交通</t>
  </si>
  <si>
    <t>00</t>
    <phoneticPr fontId="3" type="noConversion"/>
  </si>
  <si>
    <t>通用</t>
  </si>
  <si>
    <t>通用</t>
    <phoneticPr fontId="3" type="noConversion"/>
  </si>
  <si>
    <t>(空白)</t>
  </si>
  <si>
    <t>0101</t>
  </si>
  <si>
    <t>0102</t>
  </si>
  <si>
    <t>0103</t>
  </si>
  <si>
    <t>0104</t>
  </si>
  <si>
    <t>0105</t>
  </si>
  <si>
    <t>0106</t>
  </si>
  <si>
    <t>0107</t>
  </si>
  <si>
    <t>0108</t>
  </si>
  <si>
    <t>0109</t>
  </si>
  <si>
    <t>0110</t>
  </si>
  <si>
    <t>0111</t>
  </si>
  <si>
    <t>0201</t>
  </si>
  <si>
    <t>0202</t>
  </si>
  <si>
    <t>0206</t>
  </si>
  <si>
    <t>0302</t>
  </si>
  <si>
    <t>0306</t>
  </si>
  <si>
    <t>0401</t>
  </si>
  <si>
    <t>0402</t>
  </si>
  <si>
    <t>0403</t>
  </si>
  <si>
    <t>0404</t>
  </si>
  <si>
    <t>0405</t>
  </si>
  <si>
    <t>0406</t>
  </si>
  <si>
    <t>0407</t>
  </si>
  <si>
    <t>0408</t>
  </si>
  <si>
    <t>0409</t>
  </si>
  <si>
    <t>0410</t>
  </si>
  <si>
    <t>0411</t>
  </si>
  <si>
    <t>0502</t>
  </si>
  <si>
    <t>0503</t>
  </si>
  <si>
    <t>0504</t>
  </si>
  <si>
    <t>0505</t>
  </si>
  <si>
    <t>0506</t>
  </si>
  <si>
    <t>0507</t>
  </si>
  <si>
    <t>0508</t>
  </si>
  <si>
    <t>0509</t>
  </si>
  <si>
    <t>0510</t>
  </si>
  <si>
    <t>0511</t>
  </si>
  <si>
    <t>0601</t>
  </si>
  <si>
    <t>0602</t>
  </si>
  <si>
    <t>0603</t>
  </si>
  <si>
    <t>0604</t>
  </si>
  <si>
    <t>0605</t>
  </si>
  <si>
    <t>0606</t>
  </si>
  <si>
    <t>0607</t>
  </si>
  <si>
    <t>0608</t>
  </si>
  <si>
    <t>0610</t>
  </si>
  <si>
    <t>0611</t>
  </si>
  <si>
    <t>0702</t>
  </si>
  <si>
    <t>0706</t>
  </si>
  <si>
    <t>0709</t>
  </si>
  <si>
    <t>0711</t>
  </si>
  <si>
    <t>0812</t>
  </si>
  <si>
    <t>学术论坛-通用</t>
  </si>
  <si>
    <t>学术论坛-会议讲课费</t>
  </si>
  <si>
    <t>学术论坛-会议餐费</t>
  </si>
  <si>
    <t>学术论坛-会议交通费</t>
  </si>
  <si>
    <t>学术论坛-会议租车费</t>
  </si>
  <si>
    <t>学术论坛-会议火车票</t>
  </si>
  <si>
    <t>学术论坛-会议茶歇</t>
  </si>
  <si>
    <t>学术论坛-会议场租</t>
  </si>
  <si>
    <t>学术论坛-会议个人车辆</t>
  </si>
  <si>
    <t>学术论坛-会议推广材料制作</t>
  </si>
  <si>
    <t>学术论坛-会议住宿费</t>
  </si>
  <si>
    <t>学术论坛-会议杂项开支</t>
  </si>
  <si>
    <t>患者教育-通用</t>
  </si>
  <si>
    <t>患者教育-会议讲课费</t>
  </si>
  <si>
    <t>患者教育-会议餐费</t>
  </si>
  <si>
    <t>患者教育-会议茶歇</t>
  </si>
  <si>
    <t>院内会-通用</t>
  </si>
  <si>
    <t>院内会-会议餐费</t>
  </si>
  <si>
    <t>院内会-会议茶歇</t>
  </si>
  <si>
    <t>多学科专家研讨会-通用</t>
  </si>
  <si>
    <t>多学科专家研讨会-会议讲课费</t>
  </si>
  <si>
    <t>多学科专家研讨会-会议餐费</t>
  </si>
  <si>
    <t>多学科专家研讨会-会议交通费</t>
  </si>
  <si>
    <t>多学科专家研讨会-会议租车费</t>
  </si>
  <si>
    <t>多学科专家研讨会-会议火车票</t>
  </si>
  <si>
    <t>多学科专家研讨会-会议茶歇</t>
  </si>
  <si>
    <t>多学科专家研讨会-会议场租</t>
  </si>
  <si>
    <t>多学科专家研讨会-会议个人车辆</t>
  </si>
  <si>
    <t>多学科专家研讨会-会议推广材料制作</t>
  </si>
  <si>
    <t>多学科专家研讨会-会议住宿费</t>
  </si>
  <si>
    <t>多学科专家研讨会-会议杂项开支</t>
  </si>
  <si>
    <t>三方会-支持-通用</t>
  </si>
  <si>
    <t>三方会-支持-会议餐费</t>
  </si>
  <si>
    <t>三方会-支持-会议交通费</t>
  </si>
  <si>
    <t>三方会-支持-会议租车费</t>
  </si>
  <si>
    <t>三方会-支持-会议火车票</t>
  </si>
  <si>
    <t>三方会-支持-会议茶歇</t>
  </si>
  <si>
    <t>三方会-支持-会议场租</t>
  </si>
  <si>
    <t>三方会-支持-会议个人车辆</t>
  </si>
  <si>
    <t>三方会-支持-会议推广材料制作</t>
  </si>
  <si>
    <t>三方会-支持-会议住宿费</t>
  </si>
  <si>
    <t>三方会-支持-会议杂项开支</t>
  </si>
  <si>
    <t>培训会-通用</t>
  </si>
  <si>
    <t>培训会-会议讲课费</t>
  </si>
  <si>
    <t>培训会-会议餐费</t>
  </si>
  <si>
    <t>培训会-会议交通费</t>
  </si>
  <si>
    <t>培训会-会议租车费</t>
  </si>
  <si>
    <t>培训会-会议火车票</t>
  </si>
  <si>
    <t>培训会-会议茶歇</t>
  </si>
  <si>
    <t>培训会-会议场租</t>
  </si>
  <si>
    <t>培训会-会议个人车辆</t>
  </si>
  <si>
    <t>培训会-会议住宿费</t>
  </si>
  <si>
    <t>培训会-会议杂项开支</t>
  </si>
  <si>
    <t>临床研究-临床试验启动会-通用</t>
  </si>
  <si>
    <t>临床研究-临床试验启动会-会议餐费</t>
  </si>
  <si>
    <t>临床研究-临床试验启动会-会议茶歇</t>
  </si>
  <si>
    <t>临床研究-临床试验启动会-会议推广材料制作</t>
  </si>
  <si>
    <t>临床研究-临床试验启动会-会议杂项开支</t>
  </si>
  <si>
    <t>专家咨询会-通用</t>
  </si>
  <si>
    <t>专家咨询会-专家咨询费</t>
  </si>
  <si>
    <t>Problem Code</t>
    <phoneticPr fontId="3" type="noConversion"/>
  </si>
  <si>
    <t>02</t>
    <phoneticPr fontId="3" type="noConversion"/>
  </si>
  <si>
    <t>01</t>
    <phoneticPr fontId="3" type="noConversion"/>
  </si>
  <si>
    <t>长度</t>
    <phoneticPr fontId="3" type="noConversion"/>
  </si>
  <si>
    <t>8位</t>
    <phoneticPr fontId="3" type="noConversion"/>
  </si>
  <si>
    <t>结构</t>
    <phoneticPr fontId="3" type="noConversion"/>
  </si>
  <si>
    <t>第1~2位</t>
    <phoneticPr fontId="3" type="noConversion"/>
  </si>
  <si>
    <t>个人日常和差旅（含小沟会）报销单</t>
    <phoneticPr fontId="3" type="noConversion"/>
  </si>
  <si>
    <t>根据报销单【单据名称】</t>
    <phoneticPr fontId="3" type="noConversion"/>
  </si>
  <si>
    <t>EN</t>
    <phoneticPr fontId="3" type="noConversion"/>
  </si>
  <si>
    <t>MN</t>
    <phoneticPr fontId="3" type="noConversion"/>
  </si>
  <si>
    <t>学术会议报销单</t>
    <phoneticPr fontId="3" type="noConversion"/>
  </si>
  <si>
    <t>2位报销单类型+2位会议类型+2位费用类型+2位问题类型</t>
    <phoneticPr fontId="3" type="noConversion"/>
  </si>
  <si>
    <t>报销单类型</t>
    <phoneticPr fontId="3" type="noConversion"/>
  </si>
  <si>
    <t>第3~4位</t>
    <phoneticPr fontId="3" type="noConversion"/>
  </si>
  <si>
    <t>第5~6位</t>
    <phoneticPr fontId="3" type="noConversion"/>
  </si>
  <si>
    <t>根据费用明细【弹性字段7】</t>
    <phoneticPr fontId="3" type="noConversion"/>
  </si>
  <si>
    <t>代码</t>
    <phoneticPr fontId="3" type="noConversion"/>
  </si>
  <si>
    <t>所属年月</t>
    <phoneticPr fontId="3" type="noConversion"/>
  </si>
  <si>
    <t>报销单所属年月填写错误</t>
    <phoneticPr fontId="3" type="noConversion"/>
  </si>
  <si>
    <t>需系统驳回修改</t>
    <phoneticPr fontId="3" type="noConversion"/>
  </si>
  <si>
    <t>纸质材料</t>
    <phoneticPr fontId="3" type="noConversion"/>
  </si>
  <si>
    <t>已完成线上初审</t>
    <phoneticPr fontId="3" type="noConversion"/>
  </si>
  <si>
    <t>请打印封面后将报销单邮寄至我司</t>
    <phoneticPr fontId="3" type="noConversion"/>
  </si>
  <si>
    <t>费用逾期</t>
    <phoneticPr fontId="3" type="noConversion"/>
  </si>
  <si>
    <t>根据SOP规定，报销单需在90天内完成审核，您的报销单已超过90天</t>
    <phoneticPr fontId="3" type="noConversion"/>
  </si>
  <si>
    <t>如需报销本次将记录逾期，请回复确认</t>
    <phoneticPr fontId="3" type="noConversion"/>
  </si>
  <si>
    <t>EN000001</t>
    <phoneticPr fontId="3" type="noConversion"/>
  </si>
  <si>
    <t>EN000002</t>
  </si>
  <si>
    <t>EN000003</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</si>
  <si>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</si>
  <si>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</si>
  <si>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</si>
  <si>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</si>
  <si>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</si>
  <si>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</si>
  <si>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</si>
  <si>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</si>
  <si>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</si>
  <si>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</si>
  <si>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</si>
  <si>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</si>
  <si>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</si>
  <si>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</si>
  <si>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</si>
  <si>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</si>
  <si>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</si>
  <si>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</si>
  <si>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</si>
  <si>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</si>
  <si>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</si>
  <si>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</si>
  <si>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</si>
  <si>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</si>
  <si>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</si>
  <si>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</si>
  <si>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</si>
  <si>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</si>
  <si>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</si>
  <si>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</si>
  <si>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General00</t>
  </si>
  <si>
    <t>个人-月度交通费（销售/SMO/CO)</t>
  </si>
  <si>
    <t>个人-交通费-市内</t>
  </si>
  <si>
    <t>个人-电话费</t>
  </si>
  <si>
    <t>个人-工作餐</t>
  </si>
  <si>
    <t>个人-办公用品</t>
  </si>
  <si>
    <t>个人-IT配件</t>
  </si>
  <si>
    <t>个人-快递/货运</t>
  </si>
  <si>
    <t>个人-打印/复印</t>
  </si>
  <si>
    <t>个人-外部会议/培训</t>
  </si>
  <si>
    <t>个人-临床杂项</t>
  </si>
  <si>
    <t>个人-杂项开支</t>
  </si>
  <si>
    <t>个人-机票</t>
  </si>
  <si>
    <t>个人-火车</t>
  </si>
  <si>
    <t>个人-住宿费</t>
  </si>
  <si>
    <t>个人-交通费-出差</t>
  </si>
  <si>
    <t>个人-个人汽车里程</t>
  </si>
  <si>
    <t>个人-差旅餐费</t>
  </si>
  <si>
    <t>个人-其他差旅费用</t>
  </si>
  <si>
    <t>个人-团队建设</t>
  </si>
  <si>
    <t>个人-内部会议/活动</t>
  </si>
  <si>
    <t>个人-内部会议-礼品/奖品</t>
  </si>
  <si>
    <t>个人-早餐</t>
  </si>
  <si>
    <t>个人-午餐</t>
  </si>
  <si>
    <t>个人-晚餐</t>
  </si>
  <si>
    <t>个人-夜宵</t>
  </si>
  <si>
    <t>个人-下午茶</t>
  </si>
  <si>
    <t>个人-业务招待-礼品</t>
  </si>
  <si>
    <t>个人-员工工作手机购机款</t>
  </si>
  <si>
    <t>个人-小型医学沟通会餐费</t>
  </si>
  <si>
    <t>个人-培训费</t>
  </si>
  <si>
    <t>个人-通用</t>
  </si>
  <si>
    <t>Fee Type Code</t>
  </si>
  <si>
    <t>Fee Type Code</t>
    <phoneticPr fontId="3" type="noConversion"/>
  </si>
  <si>
    <t>Fee Type Description</t>
  </si>
  <si>
    <t>Fee Type Description</t>
    <phoneticPr fontId="3" type="noConversion"/>
  </si>
  <si>
    <t>General01</t>
  </si>
  <si>
    <t>General02</t>
  </si>
  <si>
    <t>General03</t>
  </si>
  <si>
    <t>General04</t>
  </si>
  <si>
    <t>General05</t>
  </si>
  <si>
    <t>General06</t>
  </si>
  <si>
    <t>General07</t>
  </si>
  <si>
    <t>General08</t>
  </si>
  <si>
    <t>根据费用明细【费用类型】</t>
    <phoneticPr fontId="3" type="noConversion"/>
  </si>
  <si>
    <t>Fee Type</t>
    <phoneticPr fontId="3" type="noConversion"/>
  </si>
  <si>
    <t>General00</t>
    <phoneticPr fontId="3" type="noConversion"/>
  </si>
  <si>
    <t>General通用问题适用于同一会议类型下的所有问题类型</t>
    <phoneticPr fontId="3" type="noConversion"/>
  </si>
  <si>
    <t>个人日常</t>
    <phoneticPr fontId="3" type="noConversion"/>
  </si>
  <si>
    <t>学术会议</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</si>
</sst>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1"/>
      <color theme="1"/>
      <name val="等线"/>
      <family val="2"/>
      <charset val="134"/>
      <scheme val="minor"/>
    </font>
    <font>
      <b/>
      <sz val="11"/>
      <color theme="1"/>
      <name val="等线"/>
      <family val="3"/>
      <charset val="134"/>
      <scheme val="minor"/>
    </font>
    <font>
      <sz val="9"/>
      <name val="等线"/>
      <family val="3"/>
      <charset val="134"/>
      <scheme val="minor"/>
    </font>
    <font>
      <sz val="9"/>
      <name val="等线"/>
      <family val="2"/>
      <charset val="134"/>
      <scheme val="minor"/>
    </font>
    <font>
      <sz val="11"/>
      <color theme="1"/>
      <name val="等线"/>
      <family val="3"/>
      <charset val="134"/>
      <scheme val="minor"/>
    </font>
    <font>
      <b/>
      <sz val="11"/>
      <color theme="1"/>
      <name val="等线"/>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alignment vertical="center"/>
    </xf>
  </cellStyleXfs>
  <cellXfs count="28">
    <xf numFmtId="0" fontId="0" fillId="0" borderId="0" xfId="0"/>
    <xf numFmtId="0" fontId="2" fillId="0" borderId="0" xfId="1" applyFont="1" applyAlignment="1">
      <alignment vertical="center" wrapText="1"/>
    </xf>
    <xf numFmtId="49" fontId="2" fillId="0" borderId="0" xfId="1" applyNumberFormat="1" applyFont="1" applyAlignment="1">
      <alignment vertical="center" wrapText="1"/>
    </xf>
    <xf numFmtId="0" fontId="2" fillId="0" borderId="0" xfId="1" applyFont="1" applyAlignment="1">
      <alignment horizontal="center" vertical="center" wrapText="1"/>
    </xf>
    <xf numFmtId="0" fontId="1" fillId="0" borderId="0" xfId="1" applyAlignment="1">
      <alignment vertical="center" wrapText="1"/>
    </xf>
    <xf numFmtId="0" fontId="0" fillId="0" borderId="0" xfId="0" applyAlignment="1">
      <alignment vertical="center" wrapText="1"/>
    </xf>
    <xf numFmtId="0" fontId="1" fillId="0" borderId="0" xfId="1" applyFill="1" applyAlignment="1">
      <alignment vertical="center" wrapText="1"/>
    </xf>
    <xf numFmtId="0" fontId="0" fillId="0" borderId="0" xfId="0" applyFill="1" applyAlignment="1">
      <alignment vertical="center" wrapText="1"/>
    </xf>
    <xf numFmtId="0" fontId="5" fillId="0" borderId="0" xfId="1" applyFont="1" applyAlignment="1">
      <alignment vertical="center" wrapText="1"/>
    </xf>
    <xf numFmtId="49" fontId="0" fillId="0" borderId="0" xfId="0" applyNumberFormat="1" applyAlignment="1">
      <alignment vertical="center" wrapText="1"/>
    </xf>
    <xf numFmtId="0" fontId="5" fillId="0" borderId="0" xfId="1" quotePrefix="1" applyFont="1" applyAlignment="1">
      <alignment vertical="center" wrapText="1"/>
    </xf>
    <xf numFmtId="0" fontId="5" fillId="0" borderId="0" xfId="0" quotePrefix="1" applyFont="1" applyAlignment="1">
      <alignment vertical="center" wrapText="1"/>
    </xf>
    <xf numFmtId="49" fontId="1" fillId="0" borderId="0" xfId="1" applyNumberFormat="1" applyAlignment="1">
      <alignment vertical="center" wrapText="1"/>
    </xf>
    <xf numFmtId="0" fontId="0" fillId="0" borderId="0" xfId="0" applyAlignment="1">
      <alignment wrapText="1"/>
    </xf>
    <xf numFmtId="0" fontId="0" fillId="0" borderId="0" xfId="0" applyFill="1" applyAlignment="1">
      <alignment wrapText="1"/>
    </xf>
    <xf numFmtId="0" fontId="0" fillId="0" borderId="0" xfId="0" pivotButton="1"/>
    <xf numFmtId="0" fontId="0" fillId="0" borderId="0" xfId="0" applyNumberFormat="1"/>
    <xf numFmtId="0" fontId="6" fillId="3" borderId="0" xfId="0" applyFont="1" applyFill="1"/>
    <xf numFmtId="0" fontId="6" fillId="3" borderId="1" xfId="0" applyFont="1" applyFill="1" applyBorder="1"/>
    <xf numFmtId="0" fontId="6" fillId="0" borderId="1" xfId="0" applyFont="1" applyBorder="1"/>
    <xf numFmtId="0" fontId="6" fillId="3" borderId="2" xfId="0" applyFont="1" applyFill="1" applyBorder="1"/>
    <xf numFmtId="0" fontId="0" fillId="0" borderId="0" xfId="0" applyNumberFormat="1" applyAlignment="1">
      <alignment wrapText="1"/>
    </xf>
    <xf numFmtId="0" fontId="6" fillId="3" borderId="2" xfId="0" applyNumberFormat="1" applyFont="1" applyFill="1" applyBorder="1"/>
    <xf numFmtId="0" fontId="2" fillId="0" borderId="0" xfId="1" applyNumberFormat="1" applyFont="1" applyAlignment="1">
      <alignment vertical="center" wrapText="1"/>
    </xf>
    <xf numFmtId="0" fontId="0" fillId="2" borderId="0" xfId="0" applyNumberFormat="1" applyFill="1" applyAlignment="1">
      <alignment wrapText="1"/>
    </xf>
    <xf numFmtId="49" fontId="0" fillId="2" borderId="0" xfId="0" applyNumberFormat="1" applyFill="1" applyAlignment="1">
      <alignment vertical="center" wrapText="1"/>
    </xf>
    <xf numFmtId="0" fontId="5" fillId="2" borderId="0" xfId="1" applyFont="1" applyFill="1" applyAlignment="1">
      <alignment vertical="center" wrapText="1"/>
    </xf>
    <xf numFmtId="0" fontId="0" fillId="2" borderId="0" xfId="0" applyFill="1" applyAlignment="1">
      <alignment wrapText="1"/>
    </xf>
  </cellXfs>
  <cellStyles count="2">
    <cellStyle name="常规" xfId="0" builtinId="0"/>
    <cellStyle name="常规 2" xfId="1" xr:uid="{072BAA8E-7AF4-4687-AFF1-F9A9F324EE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LU" refreshedDate="45902.685253356482" createdVersion="7" refreshedVersion="7" minRefreshableVersion="3" recordCount="328" xr:uid="{2B0FAD58-3829-4887-A90F-BA1BCDBEEAEE}">
  <cacheSource type="worksheet">
    <worksheetSource ref="C1:K329" sheet="学术"/>
  </cacheSource>
  <cacheFields count="10">
    <cacheField name="Problem Code" numFmtId="0">
      <sharedItems/>
    </cacheField>
    <cacheField name="Meeting Code" numFmtId="0">
      <sharedItems count="8">
        <s v="01"/>
        <s v="02"/>
        <s v="03"/>
        <s v="04"/>
        <s v="05"/>
        <s v="06"/>
        <s v="07"/>
        <s v="08"/>
      </sharedItems>
    </cacheField>
    <cacheField name="会议类型" numFmtId="0">
      <sharedItems count="8">
        <s v="学术论坛"/>
        <s v="患者教育"/>
        <s v="院内会"/>
        <s v="多学科专家研讨会"/>
        <s v="三方会-支持"/>
        <s v="培训会"/>
        <s v="临床研究-临床试验启动会"/>
        <s v="专家咨询会"/>
      </sharedItems>
    </cacheField>
    <cacheField name="Expense Code" numFmtId="0">
      <sharedItems count="13">
        <s v="01"/>
        <s v="00"/>
        <s v="02"/>
        <s v="03"/>
        <s v="04"/>
        <s v="05"/>
        <s v="06"/>
        <s v="07"/>
        <s v="08"/>
        <s v="09"/>
        <s v="10"/>
        <s v="11"/>
        <s v="12"/>
      </sharedItems>
    </cacheField>
    <cacheField name="费用类型" numFmtId="0">
      <sharedItems count="13">
        <s v="会议讲课费"/>
        <s v="通用"/>
        <s v="会议餐费"/>
        <s v="会议交通费"/>
        <s v="会议租车费"/>
        <s v="会议火车票"/>
        <s v="会议茶歇"/>
        <s v="会议场租"/>
        <s v="会议个人车辆"/>
        <s v="会议推广材料制作"/>
        <s v="会议住宿费"/>
        <s v="会议杂项开支"/>
        <s v="专家咨询费"/>
      </sharedItems>
    </cacheField>
    <cacheField name="Issue Code" numFmtId="0">
      <sharedItems/>
    </cacheField>
    <cacheField name="问题类型" numFmtId="0">
      <sharedItems/>
    </cacheField>
    <cacheField name="SOP描述" numFmtId="0">
      <sharedItems/>
    </cacheField>
    <cacheField name="标准处理方法" numFmtId="0">
      <sharedItems/>
    </cacheField>
    <cacheField name="向员工展示的问题描述_x000a_（合并问题描述和处理方法）"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LU" refreshedDate="45902.721728819444" createdVersion="7" refreshedVersion="7" minRefreshableVersion="3" recordCount="126" xr:uid="{64FFEB47-3FFD-4858-A6DC-7B000B89CC0D}">
  <cacheSource type="worksheet">
    <worksheetSource ref="A1:K127" sheet="个人"/>
  </cacheSource>
  <cacheFields count="11">
    <cacheField name="Fee Type Code" numFmtId="0">
      <sharedItems count="31">
        <s v="0001"/>
        <s v="0002"/>
        <s v="0003"/>
        <s v="0004"/>
        <s v="0005"/>
        <s v="0006"/>
        <s v="0007"/>
        <s v="0008"/>
        <s v="0009"/>
        <s v="0010"/>
        <s v="0011"/>
        <s v="0012"/>
        <s v="0013"/>
        <s v="0014"/>
        <s v="0015"/>
        <s v="0016"/>
        <s v="0017"/>
        <s v="0018"/>
        <s v="0019"/>
        <s v="0020"/>
        <s v="0021"/>
        <s v="0022"/>
        <s v="0023"/>
        <s v="0024"/>
        <s v="0025"/>
        <s v="0026"/>
        <s v="0027"/>
        <s v="0028"/>
        <s v="0029"/>
        <s v="0030"/>
        <s v="General00"/>
      </sharedItems>
    </cacheField>
    <cacheField name="Fee Type Description" numFmtId="0">
      <sharedItems count="31">
        <s v="个人-月度交通费（销售/SMO/CO)"/>
        <s v="个人-交通费-市内"/>
        <s v="个人-电话费"/>
        <s v="个人-工作餐"/>
        <s v="个人-办公用品"/>
        <s v="个人-IT配件"/>
        <s v="个人-快递/货运"/>
        <s v="个人-打印/复印"/>
        <s v="个人-外部会议/培训"/>
        <s v="个人-临床杂项"/>
        <s v="个人-杂项开支"/>
        <s v="个人-机票"/>
        <s v="个人-火车"/>
        <s v="个人-住宿费"/>
        <s v="个人-交通费-出差"/>
        <s v="个人-个人汽车里程"/>
        <s v="个人-差旅餐费"/>
        <s v="个人-其他差旅费用"/>
        <s v="个人-团队建设"/>
        <s v="个人-内部会议/活动"/>
        <s v="个人-内部会议-礼品/奖品"/>
        <s v="个人-早餐"/>
        <s v="个人-午餐"/>
        <s v="个人-晚餐"/>
        <s v="个人-夜宵"/>
        <s v="个人-下午茶"/>
        <s v="个人-业务招待-礼品"/>
        <s v="个人-员工工作手机购机款"/>
        <s v="个人-小型医学沟通会餐费"/>
        <s v="个人-培训费"/>
        <s v="个人-通用"/>
      </sharedItems>
    </cacheField>
    <cacheField name="Problem Code" numFmtId="0">
      <sharedItems count="126">
        <s v="EN000101"/>
        <s v="EN000102"/>
        <s v="EN000103"/>
        <s v="EN000104"/>
        <s v="EN000105"/>
        <s v="EN000201"/>
        <s v="EN000202"/>
        <s v="EN000203"/>
        <s v="EN000204"/>
        <s v="EN000301"/>
        <s v="EN000302"/>
        <s v="EN000303"/>
        <s v="EN000304"/>
        <s v="EN000401"/>
        <s v="EN000402"/>
        <s v="EN000403"/>
        <s v="EN000501"/>
        <s v="EN000502"/>
        <s v="EN000601"/>
        <s v="EN000602"/>
        <s v="EN000701"/>
        <s v="EN000801"/>
        <s v="EN000802"/>
        <s v="EN000803"/>
        <s v="EN000901"/>
        <s v="EN000902"/>
        <s v="EN000903"/>
        <s v="EN001001"/>
        <s v="EN001002"/>
        <s v="EN001003"/>
        <s v="EN001004"/>
        <s v="EN001101"/>
        <s v="EN001102"/>
        <s v="EN001103"/>
        <s v="EN001104"/>
        <s v="EN001201"/>
        <s v="EN001202"/>
        <s v="EN001301"/>
        <s v="EN001401"/>
        <s v="EN001402"/>
        <s v="EN001403"/>
        <s v="EN001404"/>
        <s v="EN001501"/>
        <s v="EN001502"/>
        <s v="EN001503"/>
        <s v="EN001601"/>
        <s v="EN001602"/>
        <s v="EN001701"/>
        <s v="EN001702"/>
        <s v="EN001703"/>
        <s v="EN001801"/>
        <s v="EN001901"/>
        <s v="EN001902"/>
        <s v="EN001903"/>
        <s v="EN001904"/>
        <s v="EN002001"/>
        <s v="EN002002"/>
        <s v="EN002003"/>
        <s v="EN002004"/>
        <s v="EN002005"/>
        <s v="EN002006"/>
        <s v="EN002101"/>
        <s v="EN002102"/>
        <s v="EN002103"/>
        <s v="EN002104"/>
        <s v="EN002105"/>
        <s v="EN002106"/>
        <s v="EN002201"/>
        <s v="EN002202"/>
        <s v="EN002203"/>
        <s v="EN002204"/>
        <s v="EN002205"/>
        <s v="EN002206"/>
        <s v="EN002207"/>
        <s v="EN002301"/>
        <s v="EN002302"/>
        <s v="EN002303"/>
        <s v="EN002304"/>
        <s v="EN002305"/>
        <s v="EN002306"/>
        <s v="EN002307"/>
        <s v="EN002401"/>
        <s v="EN002402"/>
        <s v="EN002403"/>
        <s v="EN002404"/>
        <s v="EN002405"/>
        <s v="EN002406"/>
        <s v="EN002407"/>
        <s v="EN002501"/>
        <s v="EN002502"/>
        <s v="EN002503"/>
        <s v="EN002504"/>
        <s v="EN002505"/>
        <s v="EN002506"/>
        <s v="EN002507"/>
        <s v="EN002601"/>
        <s v="EN002602"/>
        <s v="EN002603"/>
        <s v="EN002604"/>
        <s v="EN002605"/>
        <s v="EN002606"/>
        <s v="EN002607"/>
        <s v="EN002701"/>
        <s v="EN002702"/>
        <s v="EN002703"/>
        <s v="EN002704"/>
        <s v="EN002705"/>
        <s v="EN002706"/>
        <s v="EN002801"/>
        <s v="EN002802"/>
        <s v="EN002803"/>
        <s v="EN002804"/>
        <s v="EN002805"/>
        <s v="EN002901"/>
        <s v="EN002902"/>
        <s v="EN002903"/>
        <s v="EN002904"/>
        <s v="EN002905"/>
        <s v="EN002906"/>
        <s v="EN002907"/>
        <s v="EN002908"/>
        <s v="EN003001"/>
        <s v="EN003002"/>
        <s v="EN000001"/>
        <s v="EN000002"/>
        <s v="EN000003"/>
      </sharedItems>
    </cacheField>
    <cacheField name="Meeting Code" numFmtId="0">
      <sharedItems count="1">
        <s v="00"/>
      </sharedItems>
    </cacheField>
    <cacheField name="会议类型" numFmtId="0">
      <sharedItems count="1">
        <s v="个人"/>
      </sharedItems>
    </cacheField>
    <cacheField name="Expense Code" numFmtId="0">
      <sharedItems count="31">
        <s v="01"/>
        <s v="02"/>
        <s v="03"/>
        <s v="04"/>
        <s v="05"/>
        <s v="06"/>
        <s v="07"/>
        <s v="08"/>
        <s v="09"/>
        <s v="10"/>
        <s v="11"/>
        <s v="12"/>
        <s v="13"/>
        <s v="14"/>
        <s v="15"/>
        <s v="16"/>
        <s v="17"/>
        <s v="18"/>
        <s v="19"/>
        <s v="20"/>
        <s v="21"/>
        <s v="22"/>
        <s v="23"/>
        <s v="24"/>
        <s v="25"/>
        <s v="26"/>
        <s v="27"/>
        <s v="28"/>
        <s v="29"/>
        <s v="30"/>
        <s v="00"/>
      </sharedItems>
    </cacheField>
    <cacheField name="费用类型" numFmtId="0">
      <sharedItems count="31">
        <s v="月度交通费（销售/SMO/CO)"/>
        <s v="交通费-市内"/>
        <s v="电话费"/>
        <s v="工作餐"/>
        <s v="办公用品"/>
        <s v="IT配件"/>
        <s v="快递/货运"/>
        <s v="打印/复印"/>
        <s v="外部会议/培训"/>
        <s v="临床杂项"/>
        <s v="杂项开支"/>
        <s v="机票"/>
        <s v="火车"/>
        <s v="住宿费"/>
        <s v="交通费-出差"/>
        <s v="个人汽车里程"/>
        <s v="差旅餐费"/>
        <s v="其他差旅费用"/>
        <s v="团队建设"/>
        <s v="内部会议/活动"/>
        <s v="内部会议-礼品/奖品"/>
        <s v="早餐"/>
        <s v="午餐"/>
        <s v="晚餐"/>
        <s v="夜宵"/>
        <s v="下午茶"/>
        <s v="业务招待-礼品"/>
        <s v="员工工作手机购机款"/>
        <s v="小型医学沟通会餐费"/>
        <s v="培训费"/>
        <s v="通用"/>
      </sharedItems>
    </cacheField>
    <cacheField name="Issue Code" numFmtId="0">
      <sharedItems/>
    </cacheField>
    <cacheField name="问题类型" numFmtId="0">
      <sharedItems/>
    </cacheField>
    <cacheField name="SOP描述" numFmtId="0">
      <sharedItems/>
    </cacheField>
    <cacheField name="标准处理方法"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LU" refreshedDate="45902.722850347222" createdVersion="7" refreshedVersion="7" minRefreshableVersion="3" recordCount="329" xr:uid="{232721C1-888A-43EB-AEA3-8B161D031BD5}">
  <cacheSource type="worksheet">
    <worksheetSource ref="A1:K1048576" sheet="学术"/>
  </cacheSource>
  <cacheFields count="11">
    <cacheField name="Fee Type Code" numFmtId="0">
      <sharedItems containsBlank="1" count="61">
        <s v="0101"/>
        <s v="General01"/>
        <s v="0102"/>
        <s v="0103"/>
        <s v="0104"/>
        <s v="0105"/>
        <s v="0106"/>
        <s v="0107"/>
        <s v="0108"/>
        <s v="0109"/>
        <s v="0110"/>
        <s v="0111"/>
        <s v="0201"/>
        <s v="General02"/>
        <s v="0202"/>
        <s v="0206"/>
        <s v="0302"/>
        <s v="General03"/>
        <s v="0306"/>
        <s v="0401"/>
        <s v="General04"/>
        <s v="0402"/>
        <s v="0403"/>
        <s v="0404"/>
        <s v="0405"/>
        <s v="0406"/>
        <s v="0407"/>
        <s v="0408"/>
        <s v="0409"/>
        <s v="0410"/>
        <s v="0411"/>
        <s v="0502"/>
        <s v="General05"/>
        <s v="0503"/>
        <s v="0504"/>
        <s v="0505"/>
        <s v="0506"/>
        <s v="0507"/>
        <s v="0508"/>
        <s v="0509"/>
        <s v="0510"/>
        <s v="0511"/>
        <s v="0601"/>
        <s v="General06"/>
        <s v="0602"/>
        <s v="0603"/>
        <s v="0604"/>
        <s v="0605"/>
        <s v="0606"/>
        <s v="0607"/>
        <s v="0608"/>
        <s v="0610"/>
        <s v="0611"/>
        <s v="0702"/>
        <s v="General07"/>
        <s v="0706"/>
        <s v="0709"/>
        <s v="0711"/>
        <s v="0812"/>
        <s v="General08"/>
        <m/>
      </sharedItems>
    </cacheField>
    <cacheField name="Fee Type Description" numFmtId="0">
      <sharedItems containsBlank="1" count="61">
        <s v="学术论坛-会议讲课费"/>
        <s v="学术论坛-通用"/>
        <s v="学术论坛-会议餐费"/>
        <s v="学术论坛-会议交通费"/>
        <s v="学术论坛-会议租车费"/>
        <s v="学术论坛-会议火车票"/>
        <s v="学术论坛-会议茶歇"/>
        <s v="学术论坛-会议场租"/>
        <s v="学术论坛-会议个人车辆"/>
        <s v="学术论坛-会议推广材料制作"/>
        <s v="学术论坛-会议住宿费"/>
        <s v="学术论坛-会议杂项开支"/>
        <s v="患者教育-会议讲课费"/>
        <s v="患者教育-通用"/>
        <s v="患者教育-会议餐费"/>
        <s v="患者教育-会议茶歇"/>
        <s v="院内会-会议餐费"/>
        <s v="院内会-通用"/>
        <s v="院内会-会议茶歇"/>
        <s v="多学科专家研讨会-会议讲课费"/>
        <s v="多学科专家研讨会-通用"/>
        <s v="多学科专家研讨会-会议餐费"/>
        <s v="多学科专家研讨会-会议交通费"/>
        <s v="多学科专家研讨会-会议租车费"/>
        <s v="多学科专家研讨会-会议火车票"/>
        <s v="多学科专家研讨会-会议茶歇"/>
        <s v="多学科专家研讨会-会议场租"/>
        <s v="多学科专家研讨会-会议个人车辆"/>
        <s v="多学科专家研讨会-会议推广材料制作"/>
        <s v="多学科专家研讨会-会议住宿费"/>
        <s v="多学科专家研讨会-会议杂项开支"/>
        <s v="三方会-支持-会议餐费"/>
        <s v="三方会-支持-通用"/>
        <s v="三方会-支持-会议交通费"/>
        <s v="三方会-支持-会议租车费"/>
        <s v="三方会-支持-会议火车票"/>
        <s v="三方会-支持-会议茶歇"/>
        <s v="三方会-支持-会议场租"/>
        <s v="三方会-支持-会议个人车辆"/>
        <s v="三方会-支持-会议推广材料制作"/>
        <s v="三方会-支持-会议住宿费"/>
        <s v="三方会-支持-会议杂项开支"/>
        <s v="培训会-会议讲课费"/>
        <s v="培训会-通用"/>
        <s v="培训会-会议餐费"/>
        <s v="培训会-会议交通费"/>
        <s v="培训会-会议租车费"/>
        <s v="培训会-会议火车票"/>
        <s v="培训会-会议茶歇"/>
        <s v="培训会-会议场租"/>
        <s v="培训会-会议个人车辆"/>
        <s v="培训会-会议住宿费"/>
        <s v="培训会-会议杂项开支"/>
        <s v="临床研究-临床试验启动会-会议餐费"/>
        <s v="临床研究-临床试验启动会-通用"/>
        <s v="临床研究-临床试验启动会-会议茶歇"/>
        <s v="临床研究-临床试验启动会-会议推广材料制作"/>
        <s v="临床研究-临床试验启动会-会议杂项开支"/>
        <s v="专家咨询会-专家咨询费"/>
        <s v="专家咨询会-通用"/>
        <m/>
      </sharedItems>
    </cacheField>
    <cacheField name="Problem Code" numFmtId="0">
      <sharedItems containsBlank="1"/>
    </cacheField>
    <cacheField name="Meeting Code" numFmtId="0">
      <sharedItems containsBlank="1" count="9">
        <s v="01"/>
        <s v="02"/>
        <s v="03"/>
        <s v="04"/>
        <s v="05"/>
        <s v="06"/>
        <s v="07"/>
        <s v="08"/>
        <m/>
      </sharedItems>
    </cacheField>
    <cacheField name="会议类型" numFmtId="0">
      <sharedItems containsBlank="1" count="9">
        <s v="学术论坛"/>
        <s v="患者教育"/>
        <s v="院内会"/>
        <s v="多学科专家研讨会"/>
        <s v="三方会-支持"/>
        <s v="培训会"/>
        <s v="临床研究-临床试验启动会"/>
        <s v="专家咨询会"/>
        <m/>
      </sharedItems>
    </cacheField>
    <cacheField name="Expense Code" numFmtId="0">
      <sharedItems containsBlank="1" count="14">
        <s v="01"/>
        <s v="00"/>
        <s v="02"/>
        <s v="03"/>
        <s v="04"/>
        <s v="05"/>
        <s v="06"/>
        <s v="07"/>
        <s v="08"/>
        <s v="09"/>
        <s v="10"/>
        <s v="11"/>
        <s v="12"/>
        <m/>
      </sharedItems>
    </cacheField>
    <cacheField name="费用类型" numFmtId="0">
      <sharedItems containsBlank="1" count="14">
        <s v="会议讲课费"/>
        <s v="通用"/>
        <s v="会议餐费"/>
        <s v="会议交通费"/>
        <s v="会议租车费"/>
        <s v="会议火车票"/>
        <s v="会议茶歇"/>
        <s v="会议场租"/>
        <s v="会议个人车辆"/>
        <s v="会议推广材料制作"/>
        <s v="会议住宿费"/>
        <s v="会议杂项开支"/>
        <s v="专家咨询费"/>
        <m/>
      </sharedItems>
    </cacheField>
    <cacheField name="Issue Code" numFmtId="0">
      <sharedItems containsBlank="1" count="25">
        <s v="01"/>
        <s v="02"/>
        <s v="03"/>
        <s v="04"/>
        <s v="05"/>
        <s v="06"/>
        <s v="07"/>
        <s v="08"/>
        <s v="09"/>
        <s v="10"/>
        <s v="11"/>
        <s v="12"/>
        <s v="13"/>
        <s v="14"/>
        <s v="15"/>
        <s v="16"/>
        <s v="17"/>
        <s v="18"/>
        <s v="19"/>
        <s v="20"/>
        <s v="21"/>
        <s v="22"/>
        <s v="23"/>
        <s v="24"/>
        <m/>
      </sharedItems>
    </cacheField>
    <cacheField name="问题类型" numFmtId="0">
      <sharedItems containsBlank="1" count="62">
        <s v="非讲者库讲者"/>
        <s v="业务约定书不完整"/>
        <s v="讲者人数超标"/>
        <s v="主席和点评嘉宾人数超标"/>
        <s v="讲者未全程参会"/>
        <s v="演讲时长不达标"/>
        <s v="点评时长不达标"/>
        <s v="点评专家讲课费标准"/>
        <s v="主席参会时长"/>
        <s v="会议权限_学术论坛"/>
        <s v="会议议程_变更"/>
        <s v="会议议程_不一致"/>
        <s v="会议议程_不完整"/>
        <s v="会议议程_时长不足"/>
        <s v="会议地点_不得跨区"/>
        <s v="会议地点_禁止景区"/>
        <s v="会议地点_禁止场所"/>
        <s v="会议签到_系统人数不一致"/>
        <s v="会议签到_整场未电子签到"/>
        <s v="会议签到_缺线下签到原件"/>
        <s v="会议签到_线下签到缺审批"/>
        <s v="会议照片_缺水印"/>
        <s v="会议照片_缺会议主题"/>
        <s v="会议照片_缺付费讲者"/>
        <s v="会议照片_水印与议程不一致"/>
        <s v="会议照片_人数标准不符"/>
        <s v="会议人数_内部人数不符"/>
        <s v="会议人数_外部人数不符"/>
        <s v="报销范围_时效"/>
        <s v="报销范围_费用"/>
        <s v="缺餐厅门头照"/>
        <s v="餐费与会议时间不相连"/>
        <s v="会议餐费超人均"/>
        <s v="缺少水单"/>
        <s v="个人卡支付"/>
        <s v="现金支付"/>
        <s v="HCP飞机标准"/>
        <s v="会议租车明细"/>
        <s v="HCP火车标准"/>
        <s v="无会议的茶歇"/>
        <s v="超市、商场或水果市场购买费用"/>
        <s v="HCP住宿标准"/>
        <s v="线上患者听课时长"/>
        <s v="线下患者听课时长"/>
        <s v="混合患教听课时长"/>
        <s v="会议权限_线上患教"/>
        <s v="会议权限_线下患教"/>
        <s v="会议权限_混合患教"/>
        <s v="会议照片_缺照片水印"/>
        <s v="会议照片_线下会议人数标准不符"/>
        <s v="会议照片_缺线上会议截图"/>
        <s v="会议权限_院内会"/>
        <s v="会议地点_限院内"/>
        <s v="会议茶歇超人均"/>
        <s v="会议权限_多学科专家研讨会"/>
        <s v="会议签到_第三方大会签到"/>
        <s v="会议照片_缺支持HCP"/>
        <s v="讲课费标准"/>
        <s v="讲者级别"/>
        <s v="专家咨询记录"/>
        <s v="会议人数_外部参会人"/>
        <m/>
      </sharedItems>
    </cacheField>
    <cacheField name="SOP描述" numFmtId="0">
      <sharedItems containsBlank="1"/>
    </cacheField>
    <cacheField name="标准处理方法"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
  <r>
    <s v="MN010101"/>
    <x v="0"/>
    <x v="0"/>
    <x v="0"/>
    <x v="0"/>
    <s v="01"/>
    <s v="非讲者库讲者"/>
    <s v="根据SOP规定，报销讲课费的讲者必须是讲者库中的讲者，且不能在会议结束后特批补入库"/>
    <s v="不符合要求不予支付讲课费"/>
    <s v="根据SOP规定，报销讲课费的讲者必须是讲者库中的讲者，且不能在会议结束后特批补入库不符合要求不予支付讲课费"/>
  </r>
  <r>
    <s v="MN010102"/>
    <x v="0"/>
    <x v="0"/>
    <x v="0"/>
    <x v="0"/>
    <s v="02"/>
    <s v="业务约定书不完整"/>
    <s v="根据SOP规定，业务约定书需完整正确的填写，并由HCP签字后将完整原件邮寄至我司"/>
    <s v="请提供"/>
    <s v="根据SOP规定，业务约定书需完整正确的填写，并由HCP签字后将完整原件邮寄至我司请提供"/>
  </r>
  <r>
    <s v="MN010103"/>
    <x v="0"/>
    <x v="0"/>
    <x v="0"/>
    <x v="0"/>
    <s v="03"/>
    <s v="讲者人数超标"/>
    <s v="根据SOP规定，支付讲课费的人数不应超过外部参会总人数的20%"/>
    <s v="请确认，并告知需扣除讲课费的HCP姓名"/>
    <s v="根据SOP规定，支付讲课费的人数不应超过外部参会总人数的20%请确认，并告知需扣除讲课费的HCP姓名"/>
  </r>
  <r>
    <s v="MN010104"/>
    <x v="0"/>
    <x v="0"/>
    <x v="0"/>
    <x v="0"/>
    <s v="04"/>
    <s v="主席和点评嘉宾人数超标"/>
    <s v="根据SOP规定，支付讲课费的主席和点评专家的总数不得超过讲者总数"/>
    <s v="请确认，并告知需扣除讲课费的HCP姓名"/>
    <s v="根据SOP规定，支付讲课费的主席和点评专家的总数不得超过讲者总数请确认，并告知需扣除讲课费的HCP姓名"/>
  </r>
  <r>
    <s v="MN010105"/>
    <x v="0"/>
    <x v="0"/>
    <x v="0"/>
    <x v="0"/>
    <s v="05"/>
    <s v="讲者未全程参会"/>
    <s v="根据SOP规定，支付讲课费的专家需全程参会，并签到"/>
    <s v="请补充提供签到，不符合要求不予支付讲课费"/>
    <s v="根据SOP规定，支付讲课费的专家需全程参会，并签到请补充提供签到，不符合要求不予支付讲课费"/>
  </r>
  <r>
    <s v="MN010106"/>
    <x v="0"/>
    <x v="0"/>
    <x v="0"/>
    <x v="0"/>
    <s v="06"/>
    <s v="演讲时长不达标"/>
    <s v="根据SOP规定，学术论坛讲者讲课时间（包括手术演示、讨论问答）需≥20分钟"/>
    <s v="不符合要求不予支付讲课费"/>
    <s v="根据SOP规定，学术论坛讲者讲课时间（包括手术演示、讨论问答）需≥20分钟不符合要求不予支付讲课费"/>
  </r>
  <r>
    <s v="MN010107"/>
    <x v="0"/>
    <x v="0"/>
    <x v="0"/>
    <x v="0"/>
    <s v="07"/>
    <s v="点评时长不达标"/>
    <s v="根据SOP规定，学术论坛点评专家限全国级和区域级HCP，且点评时长累计需≥10分钟，"/>
    <s v="不符合要求不予支付讲课费"/>
    <s v="根据SOP规定，学术论坛点评专家限全国级和区域级HCP，且点评时长累计需≥10分钟，不符合要求不予支付讲课费"/>
  </r>
  <r>
    <s v="MN010108"/>
    <x v="0"/>
    <x v="0"/>
    <x v="0"/>
    <x v="0"/>
    <s v="08"/>
    <s v="点评专家讲课费标准"/>
    <s v="根据SOP规定，学术论坛点评专家的讲课费支付标准为80%*职级标准"/>
    <s v="将为您扣除差额"/>
    <s v="根据SOP规定，学术论坛点评专家的讲课费支付标准为80%*职级标准将为您扣除差额"/>
  </r>
  <r>
    <s v="MN010109"/>
    <x v="0"/>
    <x v="0"/>
    <x v="0"/>
    <x v="0"/>
    <s v="09"/>
    <s v="主席参会时长"/>
    <s v="根据SOP规定，学术论坛主席限全国级和区域级HCP中主任医师、副主任医师,且原则上应全程参加活动并致辞发言，"/>
    <s v="不符合要求不予支付讲课费"/>
    <s v="根据SOP规定，学术论坛主席限全国级和区域级HCP中主任医师、副主任医师,且原则上应全程参加活动并致辞发言，不符合要求不予支付讲课费"/>
  </r>
  <r>
    <s v="MN010001"/>
    <x v="0"/>
    <x v="0"/>
    <x v="1"/>
    <x v="1"/>
    <s v="01"/>
    <s v="会议权限_学术论坛"/>
    <s v="根据SOP规定，学术论坛可举办的组织者岗位为地区业务销售经理及以上、市场、医学、临床运营、市场准入和商务，您无权限举办此类型会议"/>
    <s v="请提供逐级审批至部门负责人的授权邮件并抄送合规"/>
    <s v="根据SOP规定，学术论坛可举办的组织者岗位为地区业务销售经理及以上、市场、医学、临床运营、市场准入和商务，您无权限举办此类型会议请提供逐级审批至部门负责人的授权邮件并抄送合规"/>
  </r>
  <r>
    <s v="MN010002"/>
    <x v="0"/>
    <x v="0"/>
    <x v="1"/>
    <x v="1"/>
    <s v="02"/>
    <s v="会议议程_变更"/>
    <s v="学会活动变更会议时间、会议地点需提供企业微信变更流程或变更审批邮件"/>
    <s v="请提供"/>
    <s v="学会活动变更会议时间、会议地点需提供企业微信变更流程或变更审批邮件请提供"/>
  </r>
  <r>
    <s v="MN010003"/>
    <x v="0"/>
    <x v="0"/>
    <x v="1"/>
    <x v="1"/>
    <s v="03"/>
    <s v="会议议程_不一致"/>
    <s v="会议议程内容与系统填报的实际会议情况不一致"/>
    <s v="请确认并提供更新的会议议程"/>
    <s v="会议议程内容与系统填报的实际会议情况不一致请确认并提供更新的会议议程"/>
  </r>
  <r>
    <s v="MN010004"/>
    <x v="0"/>
    <x v="0"/>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10005"/>
    <x v="0"/>
    <x v="0"/>
    <x v="1"/>
    <x v="1"/>
    <s v="05"/>
    <s v="会议议程_时长不足"/>
    <s v="根据SOP规定，学术论坛会议时长需≥ 半天（2-4H）"/>
    <s v="请确认"/>
    <s v="根据SOP规定，学术论坛会议时长需≥ 半天（2-4H）请确认"/>
  </r>
  <r>
    <s v="MN010006"/>
    <x v="0"/>
    <x v="0"/>
    <x v="1"/>
    <x v="1"/>
    <s v="06"/>
    <s v="会议地点_不得跨区"/>
    <s v="根据SOP规定，原则上若全部参会人来自同一城市，学术活动地点不应跨行政区域，特殊情况需得到上级直属领导事前审批"/>
    <s v="请提供"/>
    <s v="根据SOP规定，原则上若全部参会人来自同一城市，学术活动地点不应跨行政区域，特殊情况需得到上级直属领导事前审批请提供"/>
  </r>
  <r>
    <s v="MN010007"/>
    <x v="0"/>
    <x v="0"/>
    <x v="1"/>
    <x v="1"/>
    <s v="07"/>
    <s v="会议地点_禁止景区"/>
    <s v="根据SOP规定，禁止在景区名胜或铺张奢侈的地点举办或参加会议"/>
    <s v="不符合要求不予报销"/>
    <s v="根据SOP规定，禁止在景区名胜或铺张奢侈的地点举办或参加会议不符合要求不予报销"/>
  </r>
  <r>
    <s v="MN010008"/>
    <x v="0"/>
    <x v="0"/>
    <x v="1"/>
    <x v="1"/>
    <s v="08"/>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10009"/>
    <x v="0"/>
    <x v="0"/>
    <x v="1"/>
    <x v="1"/>
    <s v="09"/>
    <s v="会议签到_系统人数不一致"/>
    <s v="系统实际内外部参会人数与签到表不一致"/>
    <s v="请确认实际内外部参会人数，并解释说明"/>
    <s v="系统实际内外部参会人数与签到表不一致请确认实际内外部参会人数，并解释说明"/>
  </r>
  <r>
    <s v="MN010010"/>
    <x v="0"/>
    <x v="0"/>
    <x v="1"/>
    <x v="1"/>
    <s v="10"/>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10011"/>
    <x v="0"/>
    <x v="0"/>
    <x v="1"/>
    <x v="1"/>
    <s v="11"/>
    <s v="会议签到_缺线下签到原件"/>
    <s v="根据SOP规定，线下签到单原件需邮寄至我司"/>
    <s v="请将原件邮寄至我司，邮寄后提供快递单号"/>
    <s v="根据SOP规定，线下签到单原件需邮寄至我司请将原件邮寄至我司，邮寄后提供快递单号"/>
  </r>
  <r>
    <s v="MN010012"/>
    <x v="0"/>
    <x v="0"/>
    <x v="1"/>
    <x v="1"/>
    <s v="12"/>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10013"/>
    <x v="0"/>
    <x v="0"/>
    <x v="1"/>
    <x v="1"/>
    <s v="13"/>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10014"/>
    <x v="0"/>
    <x v="0"/>
    <x v="1"/>
    <x v="1"/>
    <s v="14"/>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10015"/>
    <x v="0"/>
    <x v="0"/>
    <x v="1"/>
    <x v="1"/>
    <s v="15"/>
    <s v="会议照片_缺付费讲者"/>
    <s v="根据SOP规定，付费讲者需提供正面清晰演讲照片，照片应体现付费讲者和一张会议幻灯稿同框的场景，要求可识别付费讲者并能体现所参加会议"/>
    <s v="请补充提供，如不符合要求将不予报销"/>
    <s v="根据SOP规定，付费讲者需提供正面清晰演讲照片，照片应体现付费讲者和一张会议幻灯稿同框的场景，要求可识别付费讲者并能体现所参加会议请补充提供，如不符合要求将不予报销"/>
  </r>
  <r>
    <s v="MN010016"/>
    <x v="0"/>
    <x v="0"/>
    <x v="1"/>
    <x v="1"/>
    <s v="16"/>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10017"/>
    <x v="0"/>
    <x v="0"/>
    <x v="1"/>
    <x v="1"/>
    <s v="17"/>
    <s v="会议照片_人数标准不符"/>
    <s v="根据SOP规定，学术论坛会议照片需显示50%及以上参会人员（内+外）"/>
    <s v="请补充提供，如不符合要求将不予报销"/>
    <s v="根据SOP规定，学术论坛会议照片需显示50%及以上参会人员（内+外）请补充提供，如不符合要求将不予报销"/>
  </r>
  <r>
    <s v="MN010018"/>
    <x v="0"/>
    <x v="0"/>
    <x v="1"/>
    <x v="1"/>
    <s v="18"/>
    <s v="会议人数_内部人数不符"/>
    <s v="根据SOP规定，学术论坛内部参会者不可少于2人（包含会议组织者）"/>
    <s v="请确认实际内部参会人数"/>
    <s v="根据SOP规定，学术论坛内部参会者不可少于2人（包含会议组织者）请确认实际内部参会人数"/>
  </r>
  <r>
    <s v="MN010019"/>
    <x v="0"/>
    <x v="0"/>
    <x v="1"/>
    <x v="1"/>
    <s v="19"/>
    <s v="会议人数_外部人数不符"/>
    <s v="根据SOP规定，学术论坛外部外部参会者可以跨城市、跨医院、跨科室的HCP共同参与，外部参会人数不少于5人"/>
    <s v="请确认实际外部参会人数"/>
    <s v="根据SOP规定，学术论坛外部外部参会者可以跨城市、跨医院、跨科室的HCP共同参与，外部参会人数不少于5人请确认实际外部参会人数"/>
  </r>
  <r>
    <s v="MN010020"/>
    <x v="0"/>
    <x v="0"/>
    <x v="1"/>
    <x v="1"/>
    <s v="20"/>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10021"/>
    <x v="0"/>
    <x v="0"/>
    <x v="1"/>
    <x v="1"/>
    <s v="21"/>
    <s v="报销范围_费用"/>
    <s v="根据SOP规定，学术论坛可报销费用有讲课费、餐饮、住宿费、场租和交通费"/>
    <s v="额外费用不予报销已为您扣除"/>
    <s v="根据SOP规定，学术论坛可报销费用有讲课费、餐饮、住宿费、场租和交通费额外费用不予报销已为您扣除"/>
  </r>
  <r>
    <s v="MN010201"/>
    <x v="0"/>
    <x v="0"/>
    <x v="2"/>
    <x v="2"/>
    <s v="01"/>
    <s v="缺餐厅门头照"/>
    <s v="根据SOP规定，会议餐费需提供餐厅门头照"/>
    <s v="请提供"/>
    <s v="根据SOP规定，会议餐费需提供餐厅门头照请提供"/>
  </r>
  <r>
    <s v="MN010202"/>
    <x v="0"/>
    <x v="0"/>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10203"/>
    <x v="0"/>
    <x v="0"/>
    <x v="2"/>
    <x v="2"/>
    <s v="03"/>
    <s v="会议餐费超人均"/>
    <s v="根据SOP规定，会议餐费，不应超过人均 300 元。如有超过上述标准的特殊情况，需获得部门负责人的审批"/>
    <s v="请提供"/>
    <s v="根据SOP规定，会议餐费，不应超过人均 300 元。如有超过上述标准的特殊情况，需获得部门负责人的审批请提供"/>
  </r>
  <r>
    <s v="MN010204"/>
    <x v="0"/>
    <x v="0"/>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10205"/>
    <x v="0"/>
    <x v="0"/>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206"/>
    <x v="0"/>
    <x v="0"/>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0301"/>
    <x v="0"/>
    <x v="0"/>
    <x v="3"/>
    <x v="3"/>
    <s v="01"/>
    <s v="HCP飞机标准"/>
    <s v="根据SOP规定，HCP乘坐飞机，需选择经济舱，单程飞行时间超出8小时可提供商务舱。高于上述标准的交通需事前经业务部负责人、合规审计部负责人及 CEO书面批准。"/>
    <s v="请提供"/>
    <s v="根据SOP规定，HCP乘坐飞机，需选择经济舱，单程飞行时间超出8小时可提供商务舱。高于上述标准的交通需事前经业务部负责人、合规审计部负责人及 CEO书面批准。请提供"/>
  </r>
  <r>
    <s v="MN010401"/>
    <x v="0"/>
    <x v="0"/>
    <x v="4"/>
    <x v="4"/>
    <s v="01"/>
    <s v="会议租车明细"/>
    <s v="根据SOP规定，租车费用，提供详细行程单，包含：日期、接送人具体时间、客人姓名/电话、行程起点详细地址、送达详细地址、车型、金额等信息"/>
    <s v="请补充提供"/>
    <s v="根据SOP规定，租车费用，提供详细行程单，包含：日期、接送人具体时间、客人姓名/电话、行程起点详细地址、送达详细地址、车型、金额等信息请补充提供"/>
  </r>
  <r>
    <s v="MN010402"/>
    <x v="0"/>
    <x v="0"/>
    <x v="4"/>
    <x v="4"/>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403"/>
    <x v="0"/>
    <x v="0"/>
    <x v="4"/>
    <x v="4"/>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0501"/>
    <x v="0"/>
    <x v="0"/>
    <x v="5"/>
    <x v="5"/>
    <s v="01"/>
    <s v="HCP火车标准"/>
    <s v="根据SOP规定，HCP火车出行不得提供商务舱坐席，高于上述标准的交通需事前经业务部负责人、合规审计部负责人及 CEO书面批准。"/>
    <s v="请提供"/>
    <s v="根据SOP规定，HCP火车出行不得提供商务舱坐席，高于上述标准的交通需事前经业务部负责人、合规审计部负责人及 CEO书面批准。请提供"/>
  </r>
  <r>
    <s v="MN010601"/>
    <x v="0"/>
    <x v="0"/>
    <x v="6"/>
    <x v="6"/>
    <s v="01"/>
    <s v="无会议的茶歇"/>
    <s v="根据SOP规定，会议茶歇不得独立于会议之外提供"/>
    <s v="请解释说明"/>
    <s v="根据SOP规定，会议茶歇不得独立于会议之外提供请解释说明"/>
  </r>
  <r>
    <s v="MN010602"/>
    <x v="0"/>
    <x v="0"/>
    <x v="6"/>
    <x v="6"/>
    <s v="02"/>
    <s v="超市、商场或水果市场购买费用"/>
    <s v="根据SOP规定，超市、商场或水果市场购买的费用，需要提供明细"/>
    <s v="请提供"/>
    <s v="根据SOP规定，超市、商场或水果市场购买的费用，需要提供明细请提供"/>
  </r>
  <r>
    <s v="MN010603"/>
    <x v="0"/>
    <x v="0"/>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604"/>
    <x v="0"/>
    <x v="0"/>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0701"/>
    <x v="0"/>
    <x v="0"/>
    <x v="7"/>
    <x v="7"/>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702"/>
    <x v="0"/>
    <x v="0"/>
    <x v="7"/>
    <x v="7"/>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0801"/>
    <x v="0"/>
    <x v="0"/>
    <x v="8"/>
    <x v="8"/>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802"/>
    <x v="0"/>
    <x v="0"/>
    <x v="8"/>
    <x v="8"/>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0901"/>
    <x v="0"/>
    <x v="0"/>
    <x v="9"/>
    <x v="9"/>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0902"/>
    <x v="0"/>
    <x v="0"/>
    <x v="9"/>
    <x v="9"/>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1001"/>
    <x v="0"/>
    <x v="0"/>
    <x v="10"/>
    <x v="10"/>
    <s v="01"/>
    <s v="HCP住宿标准"/>
    <s v="根据SOP规定，提供HCP的住宿费北上广深不得超过1000元/人/晚，其他城市不超过750元/人/晚，海外城市不超过2000元/人/晚，高于上述标准的住宿费需事前获得业务部负责人和合规审计部负责人的书面批准"/>
    <s v="请提供"/>
    <s v="根据SOP规定，提供HCP的住宿费北上广深不得超过1000元/人/晚，其他城市不超过750元/人/晚，海外城市不超过2000元/人/晚，高于上述标准的住宿费需事前获得业务部负责人和合规审计部负责人的书面批准请提供"/>
  </r>
  <r>
    <s v="MN011002"/>
    <x v="0"/>
    <x v="0"/>
    <x v="10"/>
    <x v="10"/>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1003"/>
    <x v="0"/>
    <x v="0"/>
    <x v="10"/>
    <x v="10"/>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11101"/>
    <x v="0"/>
    <x v="0"/>
    <x v="11"/>
    <x v="11"/>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11102"/>
    <x v="0"/>
    <x v="0"/>
    <x v="11"/>
    <x v="11"/>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20101"/>
    <x v="1"/>
    <x v="1"/>
    <x v="0"/>
    <x v="0"/>
    <s v="01"/>
    <s v="非讲者库讲者"/>
    <s v="根据SOP规定，报销讲课费的讲者必须是讲者库中的讲者，且不能在会议结束后特批补入库"/>
    <s v="不符合要求不予支付讲课费"/>
    <s v="根据SOP规定，报销讲课费的讲者必须是讲者库中的讲者，且不能在会议结束后特批补入库不符合要求不予支付讲课费"/>
  </r>
  <r>
    <s v="MN020102"/>
    <x v="1"/>
    <x v="1"/>
    <x v="0"/>
    <x v="0"/>
    <s v="02"/>
    <s v="业务约定书不完整"/>
    <s v="根据SOP规定，业务约定书需完整正确的填写，并由HCP签字后将完整原件邮寄至我司"/>
    <s v="请提供"/>
    <s v="根据SOP规定，业务约定书需完整正确的填写，并由HCP签字后将完整原件邮寄至我司请提供"/>
  </r>
  <r>
    <s v="MN020103"/>
    <x v="1"/>
    <x v="1"/>
    <x v="0"/>
    <x v="0"/>
    <s v="03"/>
    <s v="讲者人数超标"/>
    <s v="根据SOP规定，支付讲课费的人数不应超过外部参会总人数的20%"/>
    <s v="请确认，并告知需扣除讲课费的HCP姓名"/>
    <s v="根据SOP规定，支付讲课费的人数不应超过外部参会总人数的20%请确认，并告知需扣除讲课费的HCP姓名"/>
  </r>
  <r>
    <s v="MN020104"/>
    <x v="1"/>
    <x v="1"/>
    <x v="0"/>
    <x v="0"/>
    <s v="04"/>
    <s v="讲者未全程参会"/>
    <s v="根据SOP规定，支付讲课费的专家需全程参会，并签到"/>
    <s v="请补充提供签到，不符合要求不予支付讲课费"/>
    <s v="根据SOP规定，支付讲课费的专家需全程参会，并签到请补充提供签到，不符合要求不予支付讲课费"/>
  </r>
  <r>
    <s v="MN020105"/>
    <x v="1"/>
    <x v="1"/>
    <x v="0"/>
    <x v="0"/>
    <s v="05"/>
    <s v="演讲时长不达标"/>
    <s v="根据SOP规定，患者教育HCP讲课时长需≥20分钟"/>
    <s v="不符合要求不予支付讲课费"/>
    <s v="根据SOP规定，患者教育HCP讲课时长需≥20分钟不符合要求不予支付讲课费"/>
  </r>
  <r>
    <s v="MN020106"/>
    <x v="1"/>
    <x v="1"/>
    <x v="0"/>
    <x v="0"/>
    <s v="06"/>
    <s v="线上患者听课时长"/>
    <s v="根据SOP规定，线上患者教育患者累计听课时长需≥10分钟"/>
    <s v="不符合要求不予支付讲课费"/>
    <s v="根据SOP规定，线上患者教育患者累计听课时长需≥10分钟不符合要求不予支付讲课费"/>
  </r>
  <r>
    <s v="MN020107"/>
    <x v="1"/>
    <x v="1"/>
    <x v="0"/>
    <x v="0"/>
    <s v="07"/>
    <s v="线下患者听课时长"/>
    <s v="根据SOP规定，线下患者教育患者需全程参加"/>
    <s v="不符合要求不予支付讲课费"/>
    <s v="根据SOP规定，线下患者教育患者需全程参加不符合要求不予支付讲课费"/>
  </r>
  <r>
    <s v="MN020108"/>
    <x v="1"/>
    <x v="1"/>
    <x v="0"/>
    <x v="0"/>
    <s v="08"/>
    <s v="混合患教听课时长"/>
    <s v="根据SOP规定，混合患者教育线上患者的累计听课时长需≥10分钟，线下患者需全程参加。"/>
    <s v="不符合要求不予支付讲课费"/>
    <s v="根据SOP规定，混合患者教育线上患者的累计听课时长需≥10分钟，线下患者需全程参加。不符合要求不予支付讲课费"/>
  </r>
  <r>
    <s v="MN020109"/>
    <x v="1"/>
    <x v="1"/>
    <x v="0"/>
    <x v="0"/>
    <s v="09"/>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20110"/>
    <x v="1"/>
    <x v="1"/>
    <x v="0"/>
    <x v="0"/>
    <s v="10"/>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20001"/>
    <x v="1"/>
    <x v="1"/>
    <x v="1"/>
    <x v="1"/>
    <s v="01"/>
    <s v="会议权限_线上患教"/>
    <s v="根据SOP规定，线上患教可举办的组织者岗位为地区业务销售经理、医药代表、市场和商务，您无权限举办此类型会议"/>
    <s v="请提供逐级审批至部门负责人的授权邮件并抄送合规"/>
    <s v="根据SOP规定，线上患教可举办的组织者岗位为地区业务销售经理、医药代表、市场和商务，您无权限举办此类型会议请提供逐级审批至部门负责人的授权邮件并抄送合规"/>
  </r>
  <r>
    <s v="MN020002"/>
    <x v="1"/>
    <x v="1"/>
    <x v="1"/>
    <x v="1"/>
    <s v="02"/>
    <s v="会议权限_线下患教"/>
    <s v="根据SOP规定，线下患教可举办的组织者岗位为地区业务销售经理、市场和商务，您无权限举办此类型会议"/>
    <s v="请提供逐级审批至部门负责人的授权邮件并抄送合规"/>
    <s v="根据SOP规定，线下患教可举办的组织者岗位为地区业务销售经理、市场和商务，您无权限举办此类型会议请提供逐级审批至部门负责人的授权邮件并抄送合规"/>
  </r>
  <r>
    <s v="MN020003"/>
    <x v="1"/>
    <x v="1"/>
    <x v="1"/>
    <x v="1"/>
    <s v="03"/>
    <s v="会议权限_混合患教"/>
    <s v="根据SOP规定，混合患教可举办的组织者岗位为地区业务销售经理、市场和商务，您无权限举办此类型会议"/>
    <s v="请提供逐级审批至部门负责人的授权邮件并抄送合规"/>
    <s v="根据SOP规定，混合患教可举办的组织者岗位为地区业务销售经理、市场和商务，您无权限举办此类型会议请提供逐级审批至部门负责人的授权邮件并抄送合规"/>
  </r>
  <r>
    <s v="MN020004"/>
    <x v="1"/>
    <x v="1"/>
    <x v="1"/>
    <x v="1"/>
    <s v="04"/>
    <s v="会议议程_变更"/>
    <s v="学会活动变更会议时间、会议地点需提供企业微信变更流程或变更审批邮件"/>
    <s v="请提供"/>
    <s v="学会活动变更会议时间、会议地点需提供企业微信变更流程或变更审批邮件请提供"/>
  </r>
  <r>
    <s v="MN020005"/>
    <x v="1"/>
    <x v="1"/>
    <x v="1"/>
    <x v="1"/>
    <s v="05"/>
    <s v="会议议程_不一致"/>
    <s v="会议议程内容与系统填报的实际会议情况不一致"/>
    <s v="请确认并提供更新的会议议程"/>
    <s v="会议议程内容与系统填报的实际会议情况不一致请确认并提供更新的会议议程"/>
  </r>
  <r>
    <s v="MN020006"/>
    <x v="1"/>
    <x v="1"/>
    <x v="1"/>
    <x v="1"/>
    <s v="06"/>
    <s v="会议议程_不完整"/>
    <s v="会议议程需包含会议日期、会议开展时间、会议地点、会议内容、演讲主题和演讲人"/>
    <s v="请补充提供"/>
    <s v="会议议程需包含会议日期、会议开展时间、会议地点、会议内容、演讲主题和演讲人请补充提供"/>
  </r>
  <r>
    <s v="MN020007"/>
    <x v="1"/>
    <x v="1"/>
    <x v="1"/>
    <x v="1"/>
    <s v="07"/>
    <s v="会议议程_时长不足"/>
    <s v="根据SOP规定，患者教育HCP讲课时长需≥20分钟"/>
    <s v="请确认"/>
    <s v="根据SOP规定，患者教育HCP讲课时长需≥20分钟请确认"/>
  </r>
  <r>
    <s v="MN020008"/>
    <x v="1"/>
    <x v="1"/>
    <x v="1"/>
    <x v="1"/>
    <s v="08"/>
    <s v="会议地点_不得跨区"/>
    <s v="根据SOP规定，原则上若全部参会人来自同一城市，学术活动地点不应跨行政区域，特殊情况需得到上级直属领导事前审批"/>
    <s v="请提供"/>
    <s v="根据SOP规定，原则上若全部参会人来自同一城市，学术活动地点不应跨行政区域，特殊情况需得到上级直属领导事前审批请提供"/>
  </r>
  <r>
    <s v="MN020009"/>
    <x v="1"/>
    <x v="1"/>
    <x v="1"/>
    <x v="1"/>
    <s v="09"/>
    <s v="会议地点_禁止景区"/>
    <s v="根据SOP规定，禁止在景区名胜或铺张奢侈的地点举办或参加会议"/>
    <s v="不符合要求不予报销"/>
    <s v="根据SOP规定，禁止在景区名胜或铺张奢侈的地点举办或参加会议不符合要求不予报销"/>
  </r>
  <r>
    <s v="MN020010"/>
    <x v="1"/>
    <x v="1"/>
    <x v="1"/>
    <x v="1"/>
    <s v="10"/>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20011"/>
    <x v="1"/>
    <x v="1"/>
    <x v="1"/>
    <x v="1"/>
    <s v="11"/>
    <s v="会议签到_系统人数不一致"/>
    <s v="系统实际内外部参会人数与签到表不一致"/>
    <s v="请确认实际内外部参会人数，并解释说明"/>
    <s v="系统实际内外部参会人数与签到表不一致请确认实际内外部参会人数，并解释说明"/>
  </r>
  <r>
    <s v="MN020012"/>
    <x v="1"/>
    <x v="1"/>
    <x v="1"/>
    <x v="1"/>
    <s v="12"/>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20013"/>
    <x v="1"/>
    <x v="1"/>
    <x v="1"/>
    <x v="1"/>
    <s v="13"/>
    <s v="会议签到_缺线下签到原件"/>
    <s v="根据SOP规定，线下签到单原件需邮寄至我司"/>
    <s v="请将原件邮寄至我司，邮寄后提供快递单号"/>
    <s v="根据SOP规定，线下签到单原件需邮寄至我司请将原件邮寄至我司，邮寄后提供快递单号"/>
  </r>
  <r>
    <s v="MN020014"/>
    <x v="1"/>
    <x v="1"/>
    <x v="1"/>
    <x v="1"/>
    <s v="14"/>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20015"/>
    <x v="1"/>
    <x v="1"/>
    <x v="1"/>
    <x v="1"/>
    <s v="15"/>
    <s v="会议照片_缺照片水印"/>
    <s v="根据SOP规定，线下患教会议照片需使用水印相机拍摄活动现场照片，并注明活动时间、活动地点、活动主题"/>
    <s v="请补充提供，如不符合要求将不予报销"/>
    <s v="根据SOP规定，线下患教会议照片需使用水印相机拍摄活动现场照片，并注明活动时间、活动地点、活动主题请补充提供，如不符合要求将不予报销"/>
  </r>
  <r>
    <s v="MN020016"/>
    <x v="1"/>
    <x v="1"/>
    <x v="1"/>
    <x v="1"/>
    <s v="16"/>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20017"/>
    <x v="1"/>
    <x v="1"/>
    <x v="1"/>
    <x v="1"/>
    <s v="17"/>
    <s v="会议照片_缺付费讲者"/>
    <s v="根据SOP规定，付费讲者需提供正面清晰演讲照片，照片应体现付费讲者和一张会议幻灯稿同框的场景，要求可识别付费讲者并能体现所参加会议"/>
    <s v="请补充提供，如不符合要求将不予报销"/>
    <s v="根据SOP规定，付费讲者需提供正面清晰演讲照片，照片应体现付费讲者和一张会议幻灯稿同框的场景，要求可识别付费讲者并能体现所参加会议请补充提供，如不符合要求将不予报销"/>
  </r>
  <r>
    <s v="MN020018"/>
    <x v="1"/>
    <x v="1"/>
    <x v="1"/>
    <x v="1"/>
    <s v="18"/>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20019"/>
    <x v="1"/>
    <x v="1"/>
    <x v="1"/>
    <x v="1"/>
    <s v="19"/>
    <s v="会议照片_线下会议人数标准不符"/>
    <s v="根据SOP规定，线下患者教育会议照片需显示50%参会人员（内+外）"/>
    <s v="请补充提供，如不符合要求将不予报销"/>
    <s v="根据SOP规定，线下患者教育会议照片需显示50%参会人员（内+外）请补充提供，如不符合要求将不予报销"/>
  </r>
  <r>
    <s v="MN020020"/>
    <x v="1"/>
    <x v="1"/>
    <x v="1"/>
    <x v="1"/>
    <s v="20"/>
    <s v="会议照片_缺线上会议截图"/>
    <s v="根据SOP规定，线上患者教育会议照片需显示课件名称及讲者画面"/>
    <s v="请补充提供，如不符合要求将不予报销"/>
    <s v="根据SOP规定，线上患者教育会议照片需显示课件名称及讲者画面请补充提供，如不符合要求将不予报销"/>
  </r>
  <r>
    <s v="MN020021"/>
    <x v="1"/>
    <x v="1"/>
    <x v="1"/>
    <x v="1"/>
    <s v="21"/>
    <s v="会议人数_内部人数不符"/>
    <s v="根据SOP规定，患者教育内部参会者需≥1人（包含会议组织者）"/>
    <s v="请确认实际内部参会人数"/>
    <s v="根据SOP规定，患者教育内部参会者需≥1人（包含会议组织者）请确认实际内部参会人数"/>
  </r>
  <r>
    <s v="MN020022"/>
    <x v="1"/>
    <x v="1"/>
    <x v="1"/>
    <x v="1"/>
    <s v="22"/>
    <s v="会议人数_外部人数不符"/>
    <s v="根据SOP规定，患者教育外部参会者需≥5人"/>
    <s v="请确认实际外部参会人数"/>
    <s v="根据SOP规定，患者教育外部参会者需≥5人请确认实际外部参会人数"/>
  </r>
  <r>
    <s v="MN020023"/>
    <x v="1"/>
    <x v="1"/>
    <x v="1"/>
    <x v="1"/>
    <s v="23"/>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20024"/>
    <x v="1"/>
    <x v="1"/>
    <x v="1"/>
    <x v="1"/>
    <s v="24"/>
    <s v="报销范围_费用"/>
    <s v="根据SOP规定，患者教育可报销费用有讲课费、餐饮、交通"/>
    <s v="额外费用不予报销已为您扣除"/>
    <s v="根据SOP规定，患者教育可报销费用有讲课费、餐饮、交通额外费用不予报销已为您扣除"/>
  </r>
  <r>
    <s v="MN020201"/>
    <x v="1"/>
    <x v="1"/>
    <x v="2"/>
    <x v="2"/>
    <s v="01"/>
    <s v="缺餐厅门头照"/>
    <s v="根据SOP规定，会议餐费需提供餐厅门头照"/>
    <s v="请提供"/>
    <s v="根据SOP规定，会议餐费需提供餐厅门头照请提供"/>
  </r>
  <r>
    <s v="MN020202"/>
    <x v="1"/>
    <x v="1"/>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20203"/>
    <x v="1"/>
    <x v="1"/>
    <x v="2"/>
    <x v="2"/>
    <s v="03"/>
    <s v="会议餐费超人均"/>
    <s v="根据SOP规定，会议餐费，不应超过人均 300 元。如有超过上述标准的特殊情况，需获得部门负责人的审批"/>
    <s v="请提供"/>
    <s v="根据SOP规定，会议餐费，不应超过人均 300 元。如有超过上述标准的特殊情况，需获得部门负责人的审批请提供"/>
  </r>
  <r>
    <s v="MN020204"/>
    <x v="1"/>
    <x v="1"/>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20205"/>
    <x v="1"/>
    <x v="1"/>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20206"/>
    <x v="1"/>
    <x v="1"/>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20601"/>
    <x v="1"/>
    <x v="1"/>
    <x v="6"/>
    <x v="6"/>
    <s v="01"/>
    <s v="无会议的茶歇"/>
    <s v="根据SOP规定，会议茶歇不得独立于会议之外提供"/>
    <s v="请解释说明"/>
    <s v="根据SOP规定，会议茶歇不得独立于会议之外提供请解释说明"/>
  </r>
  <r>
    <s v="MN020602"/>
    <x v="1"/>
    <x v="1"/>
    <x v="6"/>
    <x v="6"/>
    <s v="02"/>
    <s v="超市、商场或水果市场购买费用"/>
    <s v="根据SOP规定，超市、商场或水果市场购买的费用，需要提供明细"/>
    <s v="请提供"/>
    <s v="根据SOP规定，超市、商场或水果市场购买的费用，需要提供明细请提供"/>
  </r>
  <r>
    <s v="MN020603"/>
    <x v="1"/>
    <x v="1"/>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20604"/>
    <x v="1"/>
    <x v="1"/>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30201"/>
    <x v="2"/>
    <x v="2"/>
    <x v="2"/>
    <x v="2"/>
    <s v="01"/>
    <s v="缺餐厅门头照"/>
    <s v="根据SOP规定，会议餐费需提供餐厅门头照"/>
    <s v="请提供"/>
    <s v="根据SOP规定，会议餐费需提供餐厅门头照请提供"/>
  </r>
  <r>
    <s v="MN030202"/>
    <x v="2"/>
    <x v="2"/>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30203"/>
    <x v="2"/>
    <x v="2"/>
    <x v="2"/>
    <x v="2"/>
    <s v="03"/>
    <s v="会议餐费超人均"/>
    <s v="根据SOP规定，院内会会议餐费，不应超过人均 100元。如有超过上述标准的特殊情况，需获得部门负责人和合规部负责人的审批"/>
    <s v="请提供"/>
    <s v="根据SOP规定，院内会会议餐费，不应超过人均 100元。如有超过上述标准的特殊情况，需获得部门负责人和合规部负责人的审批请提供"/>
  </r>
  <r>
    <s v="MN030204"/>
    <x v="2"/>
    <x v="2"/>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30205"/>
    <x v="2"/>
    <x v="2"/>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30206"/>
    <x v="2"/>
    <x v="2"/>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30001"/>
    <x v="2"/>
    <x v="2"/>
    <x v="1"/>
    <x v="1"/>
    <s v="01"/>
    <s v="会议权限_院内会"/>
    <s v="根据SOP规定，院内会可举办的组织者岗位为医药代表、地区业务销售经理，您无权限举办此类型会议"/>
    <s v="请提供逐级审批至部门负责人的授权邮件并抄送合规"/>
    <s v="根据SOP规定，院内会可举办的组织者岗位为医药代表、地区业务销售经理，您无权限举办此类型会议请提供逐级审批至部门负责人的授权邮件并抄送合规"/>
  </r>
  <r>
    <s v="MN030002"/>
    <x v="2"/>
    <x v="2"/>
    <x v="1"/>
    <x v="1"/>
    <s v="02"/>
    <s v="会议议程_变更"/>
    <s v="学会活动变更会议时间、会议地点需提供企业微信变更流程或变更审批邮件"/>
    <s v="请提供"/>
    <s v="学会活动变更会议时间、会议地点需提供企业微信变更流程或变更审批邮件请提供"/>
  </r>
  <r>
    <s v="MN030003"/>
    <x v="2"/>
    <x v="2"/>
    <x v="1"/>
    <x v="1"/>
    <s v="03"/>
    <s v="会议议程_不一致"/>
    <s v="会议议程内容与系统填报的实际会议情况不一致"/>
    <s v="请确认并提供更新的会议议程"/>
    <s v="会议议程内容与系统填报的实际会议情况不一致请确认并提供更新的会议议程"/>
  </r>
  <r>
    <s v="MN030004"/>
    <x v="2"/>
    <x v="2"/>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30005"/>
    <x v="2"/>
    <x v="2"/>
    <x v="1"/>
    <x v="1"/>
    <s v="05"/>
    <s v="会议议程_时长不足"/>
    <s v="根据SOP规定，院内会会议时长需≥20分钟"/>
    <s v="请确认"/>
    <s v="根据SOP规定，院内会会议时长需≥20分钟请确认"/>
  </r>
  <r>
    <s v="MN030006"/>
    <x v="2"/>
    <x v="2"/>
    <x v="1"/>
    <x v="1"/>
    <s v="06"/>
    <s v="会议地点_限院内"/>
    <s v="根据SOP规定，院内会地点仅限院内，不复核要求不予报销"/>
    <s v="已为您扣除"/>
    <s v="根据SOP规定，院内会地点仅限院内，不复核要求不予报销已为您扣除"/>
  </r>
  <r>
    <s v="MN030007"/>
    <x v="2"/>
    <x v="2"/>
    <x v="1"/>
    <x v="1"/>
    <s v="07"/>
    <s v="会议签到_系统人数不一致"/>
    <s v="系统实际内外部参会人数与签到表不一致"/>
    <s v="请确认实际内外部参会人数，并解释说明"/>
    <s v="系统实际内外部参会人数与签到表不一致请确认实际内外部参会人数，并解释说明"/>
  </r>
  <r>
    <s v="MN030008"/>
    <x v="2"/>
    <x v="2"/>
    <x v="1"/>
    <x v="1"/>
    <s v="08"/>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30009"/>
    <x v="2"/>
    <x v="2"/>
    <x v="1"/>
    <x v="1"/>
    <s v="09"/>
    <s v="会议签到_缺线下签到原件"/>
    <s v="根据SOP规定，线下签到单原件需邮寄至我司"/>
    <s v="请将原件邮寄至我司，邮寄后提供快递单号"/>
    <s v="根据SOP规定，线下签到单原件需邮寄至我司请将原件邮寄至我司，邮寄后提供快递单号"/>
  </r>
  <r>
    <s v="MN030010"/>
    <x v="2"/>
    <x v="2"/>
    <x v="1"/>
    <x v="1"/>
    <s v="10"/>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30011"/>
    <x v="2"/>
    <x v="2"/>
    <x v="1"/>
    <x v="1"/>
    <s v="11"/>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30012"/>
    <x v="2"/>
    <x v="2"/>
    <x v="1"/>
    <x v="1"/>
    <s v="12"/>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30013"/>
    <x v="2"/>
    <x v="2"/>
    <x v="1"/>
    <x v="1"/>
    <s v="13"/>
    <s v="会议照片_缺付费讲者"/>
    <s v="根据SOP规定，付费讲者需提供正面清晰演讲照片，照片应体现付费讲者和一张会议幻灯稿同框的场景，要求可识别付费讲者并能体现所参加会议"/>
    <s v="请补充提供，如不符合要求将不予报销"/>
    <s v="根据SOP规定，付费讲者需提供正面清晰演讲照片，照片应体现付费讲者和一张会议幻灯稿同框的场景，要求可识别付费讲者并能体现所参加会议请补充提供，如不符合要求将不予报销"/>
  </r>
  <r>
    <s v="MN030014"/>
    <x v="2"/>
    <x v="2"/>
    <x v="1"/>
    <x v="1"/>
    <s v="14"/>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30015"/>
    <x v="2"/>
    <x v="2"/>
    <x v="1"/>
    <x v="1"/>
    <s v="15"/>
    <s v="会议照片_人数标准不符"/>
    <s v="根据SOP规定，院内会会议照片需显示100%外部参会人员"/>
    <s v="请补充提供，如不符合要求将不予报销"/>
    <s v="根据SOP规定，院内会会议照片需显示100%外部参会人员请补充提供，如不符合要求将不予报销"/>
  </r>
  <r>
    <s v="MN030016"/>
    <x v="2"/>
    <x v="2"/>
    <x v="1"/>
    <x v="1"/>
    <s v="16"/>
    <s v="会议人数_内部人数不符"/>
    <s v="根据SOP规定，院内会内部参会者需≥1人（含会议组织者）"/>
    <s v="请确认实际内部参会人数"/>
    <s v="根据SOP规定，院内会内部参会者需≥1人（含会议组织者）请确认实际内部参会人数"/>
  </r>
  <r>
    <s v="MN030017"/>
    <x v="2"/>
    <x v="2"/>
    <x v="1"/>
    <x v="1"/>
    <s v="17"/>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30018"/>
    <x v="2"/>
    <x v="2"/>
    <x v="1"/>
    <x v="1"/>
    <s v="18"/>
    <s v="报销范围_费用"/>
    <s v="根据SOP规定，院内会仅允许报销会议餐饮费"/>
    <s v="额外费用不予报销已为您扣除"/>
    <s v="根据SOP规定，院内会仅允许报销会议餐饮费额外费用不予报销已为您扣除"/>
  </r>
  <r>
    <s v="MN030601"/>
    <x v="2"/>
    <x v="2"/>
    <x v="6"/>
    <x v="6"/>
    <s v="01"/>
    <s v="会议茶歇超人均"/>
    <s v="根据SOP规定，院内会议茶歇与会议餐费合计金额，不应超过人均 100元。如有超过上述标准的特殊情况，需获得部门负责人和合规部负责人的审批"/>
    <s v="请提供"/>
    <s v="根据SOP规定，院内会议茶歇与会议餐费合计金额，不应超过人均 100元。如有超过上述标准的特殊情况，需获得部门负责人和合规部负责人的审批请提供"/>
  </r>
  <r>
    <s v="MN030602"/>
    <x v="2"/>
    <x v="2"/>
    <x v="6"/>
    <x v="6"/>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30603"/>
    <x v="2"/>
    <x v="2"/>
    <x v="6"/>
    <x v="6"/>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101"/>
    <x v="3"/>
    <x v="3"/>
    <x v="0"/>
    <x v="0"/>
    <s v="01"/>
    <s v="非讲者库讲者"/>
    <s v="根据SOP规定，报销讲课费的讲者必须是讲者库中的讲者，且不能在会议结束后特批补入库"/>
    <s v="不符合要求不予支付讲课费"/>
    <s v="根据SOP规定，报销讲课费的讲者必须是讲者库中的讲者，且不能在会议结束后特批补入库不符合要求不予支付讲课费"/>
  </r>
  <r>
    <s v="MN040102"/>
    <x v="3"/>
    <x v="3"/>
    <x v="0"/>
    <x v="0"/>
    <s v="02"/>
    <s v="业务约定书不完整"/>
    <s v="根据SOP规定，业务约定书需完整正确的填写，并由HCP签字后将完整原件邮寄至我司"/>
    <s v="请提供"/>
    <s v="根据SOP规定，业务约定书需完整正确的填写，并由HCP签字后将完整原件邮寄至我司请提供"/>
  </r>
  <r>
    <s v="MN040105"/>
    <x v="3"/>
    <x v="3"/>
    <x v="0"/>
    <x v="0"/>
    <s v="05"/>
    <s v="讲者未全程参会"/>
    <s v="根据SOP规定，支付讲课费的专家需全程参会，并签到"/>
    <s v="请补充提供签到，不符合要求不予支付讲课费"/>
    <s v="根据SOP规定，支付讲课费的专家需全程参会，并签到请补充提供签到，不符合要求不予支付讲课费"/>
  </r>
  <r>
    <s v="MN040106"/>
    <x v="3"/>
    <x v="3"/>
    <x v="0"/>
    <x v="0"/>
    <s v="06"/>
    <s v="演讲时长不达标"/>
    <s v="根据SOP规定，多学科专家研讨会讲者讲课时间（包括手术演示、讨论问答）需≥20分钟"/>
    <s v="不符合要求不予支付讲课费"/>
    <s v="根据SOP规定，多学科专家研讨会讲者讲课时间（包括手术演示、讨论问答）需≥20分钟不符合要求不予支付讲课费"/>
  </r>
  <r>
    <s v="MN040107"/>
    <x v="3"/>
    <x v="3"/>
    <x v="0"/>
    <x v="0"/>
    <s v="07"/>
    <s v="点评时长不达标"/>
    <s v="根据SOP规定，多学科专家研讨会点评专家点评时长累计需≥10分钟，且必须具体体现在会议日程中"/>
    <s v="不符合要求不予支付讲课费"/>
    <s v="根据SOP规定，多学科专家研讨会点评专家点评时长累计需≥10分钟，且必须具体体现在会议日程中不符合要求不予支付讲课费"/>
  </r>
  <r>
    <s v="MN040108"/>
    <x v="3"/>
    <x v="3"/>
    <x v="0"/>
    <x v="0"/>
    <s v="08"/>
    <s v="点评专家讲课费标准"/>
    <s v="根据SOP规定，多学科专家研讨会点评专家的讲课费支付标准为80%*职级标准，但不得超过1000元"/>
    <s v="将为您扣除差额"/>
    <s v="根据SOP规定，多学科专家研讨会点评专家的讲课费支付标准为80%*职级标准，但不得超过1000元将为您扣除差额"/>
  </r>
  <r>
    <s v="MN040109"/>
    <x v="3"/>
    <x v="3"/>
    <x v="0"/>
    <x v="0"/>
    <s v="09"/>
    <s v="主席参会时长"/>
    <s v="根据SOP规定，多学科专家研讨会主席原则上应全程参加会议并致辞发言"/>
    <s v="不符合要求不予支付讲课费"/>
    <s v="根据SOP规定，多学科专家研讨会主席原则上应全程参加会议并致辞发言不符合要求不予支付讲课费"/>
  </r>
  <r>
    <s v="MN040110"/>
    <x v="3"/>
    <x v="3"/>
    <x v="0"/>
    <x v="0"/>
    <s v="10"/>
    <s v="主席参会时长"/>
    <s v="根据SOP规定，多学科专家研讨会付费点评专家需提供签字的MDT点评记录"/>
    <s v="请提供"/>
    <s v="根据SOP规定，多学科专家研讨会付费点评专家需提供签字的MDT点评记录请提供"/>
  </r>
  <r>
    <s v="MN040001"/>
    <x v="3"/>
    <x v="3"/>
    <x v="1"/>
    <x v="1"/>
    <s v="01"/>
    <s v="会议权限_多学科专家研讨会"/>
    <s v="根据SOP规定，多学科专家研讨会可举办的组织者岗位为市场、医学和大区业务销售经理级以上，您无权限举办此类型会议"/>
    <s v="请提供逐级审批至部门负责人的授权邮件并抄送合规"/>
    <s v="根据SOP规定，多学科专家研讨会可举办的组织者岗位为市场、医学和大区业务销售经理级以上，您无权限举办此类型会议请提供逐级审批至部门负责人的授权邮件并抄送合规"/>
  </r>
  <r>
    <s v="MN040002"/>
    <x v="3"/>
    <x v="3"/>
    <x v="1"/>
    <x v="1"/>
    <s v="02"/>
    <s v="会议议程_变更"/>
    <s v="学会活动变更会议时间、会议地点需提供企业微信变更流程或变更审批邮件"/>
    <s v="请提供"/>
    <s v="学会活动变更会议时间、会议地点需提供企业微信变更流程或变更审批邮件请提供"/>
  </r>
  <r>
    <s v="MN040003"/>
    <x v="3"/>
    <x v="3"/>
    <x v="1"/>
    <x v="1"/>
    <s v="03"/>
    <s v="会议议程_不一致"/>
    <s v="会议议程内容与系统填报的实际会议情况不一致"/>
    <s v="请确认并提供更新的会议议程"/>
    <s v="会议议程内容与系统填报的实际会议情况不一致请确认并提供更新的会议议程"/>
  </r>
  <r>
    <s v="MN040004"/>
    <x v="3"/>
    <x v="3"/>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40005"/>
    <x v="3"/>
    <x v="3"/>
    <x v="1"/>
    <x v="1"/>
    <s v="05"/>
    <s v="会议议程_时长不足"/>
    <s v="根据SOP规定，多学科专家研讨会会议时长需≥ 半天（2-4H）"/>
    <s v="请确认"/>
    <s v="根据SOP规定，多学科专家研讨会会议时长需≥ 半天（2-4H）请确认"/>
  </r>
  <r>
    <s v="MN040006"/>
    <x v="3"/>
    <x v="3"/>
    <x v="1"/>
    <x v="1"/>
    <s v="06"/>
    <s v="会议地点_禁止景区"/>
    <s v="根据SOP规定，禁止在景区名胜或铺张奢侈的地点举办或参加会议"/>
    <s v="不符合要求不予报销"/>
    <s v="根据SOP规定，禁止在景区名胜或铺张奢侈的地点举办或参加会议不符合要求不予报销"/>
  </r>
  <r>
    <s v="MN040007"/>
    <x v="3"/>
    <x v="3"/>
    <x v="1"/>
    <x v="1"/>
    <s v="07"/>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40008"/>
    <x v="3"/>
    <x v="3"/>
    <x v="1"/>
    <x v="1"/>
    <s v="08"/>
    <s v="会议签到_系统人数不一致"/>
    <s v="系统实际内外部参会人数与签到表不一致"/>
    <s v="请确认实际内外部参会人数，并解释说明"/>
    <s v="系统实际内外部参会人数与签到表不一致请确认实际内外部参会人数，并解释说明"/>
  </r>
  <r>
    <s v="MN040009"/>
    <x v="3"/>
    <x v="3"/>
    <x v="1"/>
    <x v="1"/>
    <s v="09"/>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40010"/>
    <x v="3"/>
    <x v="3"/>
    <x v="1"/>
    <x v="1"/>
    <s v="10"/>
    <s v="会议签到_缺线下签到原件"/>
    <s v="根据SOP规定，线下签到单原件需邮寄至我司"/>
    <s v="请将原件邮寄至我司，邮寄后提供快递单号"/>
    <s v="根据SOP规定，线下签到单原件需邮寄至我司请将原件邮寄至我司，邮寄后提供快递单号"/>
  </r>
  <r>
    <s v="MN040011"/>
    <x v="3"/>
    <x v="3"/>
    <x v="1"/>
    <x v="1"/>
    <s v="11"/>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40012"/>
    <x v="3"/>
    <x v="3"/>
    <x v="1"/>
    <x v="1"/>
    <s v="12"/>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40013"/>
    <x v="3"/>
    <x v="3"/>
    <x v="1"/>
    <x v="1"/>
    <s v="13"/>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40014"/>
    <x v="3"/>
    <x v="3"/>
    <x v="1"/>
    <x v="1"/>
    <s v="14"/>
    <s v="会议照片_缺付费讲者"/>
    <s v="根据SOP规定，付费讲者需提供正面清晰演讲照片，照片应体现付费讲者和一张会议幻灯稿同框的场景，要求可识别付费讲者并能体现所参加会议"/>
    <s v="请补充提供，如不符合要求将不予报销"/>
    <s v="根据SOP规定，付费讲者需提供正面清晰演讲照片，照片应体现付费讲者和一张会议幻灯稿同框的场景，要求可识别付费讲者并能体现所参加会议请补充提供，如不符合要求将不予报销"/>
  </r>
  <r>
    <s v="MN040015"/>
    <x v="3"/>
    <x v="3"/>
    <x v="1"/>
    <x v="1"/>
    <s v="15"/>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40016"/>
    <x v="3"/>
    <x v="3"/>
    <x v="1"/>
    <x v="1"/>
    <s v="16"/>
    <s v="会议照片_人数标准不符"/>
    <s v="根据SOP规定，多学科专家研讨会会议照片需显示50%及以上参会人员（内+外）"/>
    <s v="请补充提供，如不符合要求将不予报销"/>
    <s v="根据SOP规定，多学科专家研讨会会议照片需显示50%及以上参会人员（内+外）请补充提供，如不符合要求将不予报销"/>
  </r>
  <r>
    <s v="MN040017"/>
    <x v="3"/>
    <x v="3"/>
    <x v="1"/>
    <x v="1"/>
    <s v="17"/>
    <s v="会议人数_内部人数不符"/>
    <s v="根据SOP规定，多学科专家研讨会内部参会者不可少于2人（包含会议组织者）"/>
    <s v="请确认实际内部参会人数"/>
    <s v="根据SOP规定，多学科专家研讨会内部参会者不可少于2人（包含会议组织者）请确认实际内部参会人数"/>
  </r>
  <r>
    <s v="MN040018"/>
    <x v="3"/>
    <x v="3"/>
    <x v="1"/>
    <x v="1"/>
    <s v="18"/>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40019"/>
    <x v="3"/>
    <x v="3"/>
    <x v="1"/>
    <x v="1"/>
    <s v="19"/>
    <s v="报销范围_费用"/>
    <s v="根据SOP规定，多学科专家研讨会可报销费用有讲课费、餐饮、住宿费、场租和交通费"/>
    <s v="额外费用不予报销已为您扣除"/>
    <s v="根据SOP规定，多学科专家研讨会可报销费用有讲课费、餐饮、住宿费、场租和交通费额外费用不予报销已为您扣除"/>
  </r>
  <r>
    <s v="MN040201"/>
    <x v="3"/>
    <x v="3"/>
    <x v="2"/>
    <x v="2"/>
    <s v="01"/>
    <s v="缺餐厅门头照"/>
    <s v="根据SOP规定，会议餐费需提供餐厅门头照"/>
    <s v="请提供"/>
    <s v="根据SOP规定，会议餐费需提供餐厅门头照请提供"/>
  </r>
  <r>
    <s v="MN040202"/>
    <x v="3"/>
    <x v="3"/>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40203"/>
    <x v="3"/>
    <x v="3"/>
    <x v="2"/>
    <x v="2"/>
    <s v="03"/>
    <s v="会议餐费超人均"/>
    <s v="根据SOP规定，会议餐费，不应超过人均 300 元。如有超过上述标准的特殊情况，需获得部门负责人的审批"/>
    <s v="请提供"/>
    <s v="根据SOP规定，会议餐费，不应超过人均 300 元。如有超过上述标准的特殊情况，需获得部门负责人的审批请提供"/>
  </r>
  <r>
    <s v="MN040204"/>
    <x v="3"/>
    <x v="3"/>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40205"/>
    <x v="3"/>
    <x v="3"/>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206"/>
    <x v="3"/>
    <x v="3"/>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301"/>
    <x v="3"/>
    <x v="3"/>
    <x v="3"/>
    <x v="3"/>
    <s v="01"/>
    <s v="HCP飞机标准"/>
    <s v="根据SOP规定，HCP乘坐飞机，需选择经济舱，单程飞行时间超出8小时可提供商务舱。高于上述标准的交通需事前经业务部负责人、合规审计部负责人及 CEO书面批准。"/>
    <s v="请提供"/>
    <s v="根据SOP规定，HCP乘坐飞机，需选择经济舱，单程飞行时间超出8小时可提供商务舱。高于上述标准的交通需事前经业务部负责人、合规审计部负责人及 CEO书面批准。请提供"/>
  </r>
  <r>
    <s v="MN040401"/>
    <x v="3"/>
    <x v="3"/>
    <x v="4"/>
    <x v="4"/>
    <s v="01"/>
    <s v="会议租车明细"/>
    <s v="根据SOP规定，租车费用，提供详细行程单，包含：日期、接送人具体时间、客人姓名/电话、行程起点详细地址、送达详细地址、车型、金额等信息"/>
    <s v="请补充提供"/>
    <s v="根据SOP规定，租车费用，提供详细行程单，包含：日期、接送人具体时间、客人姓名/电话、行程起点详细地址、送达详细地址、车型、金额等信息请补充提供"/>
  </r>
  <r>
    <s v="MN040402"/>
    <x v="3"/>
    <x v="3"/>
    <x v="4"/>
    <x v="4"/>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403"/>
    <x v="3"/>
    <x v="3"/>
    <x v="4"/>
    <x v="4"/>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501"/>
    <x v="3"/>
    <x v="3"/>
    <x v="5"/>
    <x v="5"/>
    <s v="01"/>
    <s v="HCP火车标准"/>
    <s v="根据SOP规定，HCP火车出行不得提供商务舱坐席，高于上述标准的交通需事前经业务部负责人、合规审计部负责人及 CEO书面批准。"/>
    <s v="请提供"/>
    <s v="根据SOP规定，HCP火车出行不得提供商务舱坐席，高于上述标准的交通需事前经业务部负责人、合规审计部负责人及 CEO书面批准。请提供"/>
  </r>
  <r>
    <s v="MN040601"/>
    <x v="3"/>
    <x v="3"/>
    <x v="6"/>
    <x v="6"/>
    <s v="01"/>
    <s v="无会议的茶歇"/>
    <s v="根据SOP规定，会议茶歇不得独立于会议之外提供"/>
    <s v="请解释说明"/>
    <s v="根据SOP规定，会议茶歇不得独立于会议之外提供请解释说明"/>
  </r>
  <r>
    <s v="MN040602"/>
    <x v="3"/>
    <x v="3"/>
    <x v="6"/>
    <x v="6"/>
    <s v="02"/>
    <s v="超市、商场或水果市场购买费用"/>
    <s v="根据SOP规定，超市、商场或水果市场购买的费用，需要提供明细"/>
    <s v="请提供"/>
    <s v="根据SOP规定，超市、商场或水果市场购买的费用，需要提供明细请提供"/>
  </r>
  <r>
    <s v="MN040603"/>
    <x v="3"/>
    <x v="3"/>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604"/>
    <x v="3"/>
    <x v="3"/>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701"/>
    <x v="3"/>
    <x v="3"/>
    <x v="7"/>
    <x v="7"/>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702"/>
    <x v="3"/>
    <x v="3"/>
    <x v="7"/>
    <x v="7"/>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801"/>
    <x v="3"/>
    <x v="3"/>
    <x v="8"/>
    <x v="8"/>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802"/>
    <x v="3"/>
    <x v="3"/>
    <x v="8"/>
    <x v="8"/>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0901"/>
    <x v="3"/>
    <x v="3"/>
    <x v="9"/>
    <x v="9"/>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0902"/>
    <x v="3"/>
    <x v="3"/>
    <x v="9"/>
    <x v="9"/>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1001"/>
    <x v="3"/>
    <x v="3"/>
    <x v="10"/>
    <x v="10"/>
    <s v="01"/>
    <s v="HCP住宿标准"/>
    <s v="根据SOP规定，提供HCP的住宿费北上广深不得超过1000元/人/晚，其他城市不超过750元/人/晚，海外城市不超过2000元/人/晚，高于上述标准的住宿费需事前获得业务部负责人和合规审计部负责人的书面批准"/>
    <s v="请提供"/>
    <s v="根据SOP规定，提供HCP的住宿费北上广深不得超过1000元/人/晚，其他城市不超过750元/人/晚，海外城市不超过2000元/人/晚，高于上述标准的住宿费需事前获得业务部负责人和合规审计部负责人的书面批准请提供"/>
  </r>
  <r>
    <s v="MN041002"/>
    <x v="3"/>
    <x v="3"/>
    <x v="10"/>
    <x v="10"/>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1003"/>
    <x v="3"/>
    <x v="3"/>
    <x v="10"/>
    <x v="10"/>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41101"/>
    <x v="3"/>
    <x v="3"/>
    <x v="11"/>
    <x v="11"/>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41102"/>
    <x v="3"/>
    <x v="3"/>
    <x v="11"/>
    <x v="11"/>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201"/>
    <x v="4"/>
    <x v="4"/>
    <x v="2"/>
    <x v="2"/>
    <s v="01"/>
    <s v="缺餐厅门头照"/>
    <s v="根据SOP规定，会议餐费需提供餐厅门头照"/>
    <s v="请提供"/>
    <s v="根据SOP规定，会议餐费需提供餐厅门头照请提供"/>
  </r>
  <r>
    <s v="MN050202"/>
    <x v="4"/>
    <x v="4"/>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50203"/>
    <x v="4"/>
    <x v="4"/>
    <x v="2"/>
    <x v="2"/>
    <s v="03"/>
    <s v="会议餐费超人均"/>
    <s v="根据SOP规定，会议餐费，不应超过人均 300 元。如有超过上述标准的特殊情况，需获得部门负责人的审批"/>
    <s v="请提供"/>
    <s v="根据SOP规定，会议餐费，不应超过人均 300 元。如有超过上述标准的特殊情况，需获得部门负责人的审批请提供"/>
  </r>
  <r>
    <s v="MN050204"/>
    <x v="4"/>
    <x v="4"/>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50205"/>
    <x v="4"/>
    <x v="4"/>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206"/>
    <x v="4"/>
    <x v="4"/>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001"/>
    <x v="4"/>
    <x v="4"/>
    <x v="1"/>
    <x v="1"/>
    <s v="01"/>
    <s v="会议权限_学术论坛"/>
    <s v="根据SOP规定，三方会-支持可举办的组织者岗位为地区业务销售经理及以上、市场和医学，您无权限举办此类型会议"/>
    <s v="请提供逐级审批至部门负责人的授权邮件并抄送合规"/>
    <s v="根据SOP规定，三方会-支持可举办的组织者岗位为地区业务销售经理及以上、市场和医学，您无权限举办此类型会议请提供逐级审批至部门负责人的授权邮件并抄送合规"/>
  </r>
  <r>
    <s v="MN050002"/>
    <x v="4"/>
    <x v="4"/>
    <x v="1"/>
    <x v="1"/>
    <s v="02"/>
    <s v="会议议程_变更"/>
    <s v="学会活动变更会议时间、会议地点需提供企业微信变更流程或变更审批邮件"/>
    <s v="请提供"/>
    <s v="学会活动变更会议时间、会议地点需提供企业微信变更流程或变更审批邮件请提供"/>
  </r>
  <r>
    <s v="MN050003"/>
    <x v="4"/>
    <x v="4"/>
    <x v="1"/>
    <x v="1"/>
    <s v="03"/>
    <s v="会议议程_不一致"/>
    <s v="会议议程内容与系统填报的实际会议情况不一致"/>
    <s v="请确认并提供更新的会议议程"/>
    <s v="会议议程内容与系统填报的实际会议情况不一致请确认并提供更新的会议议程"/>
  </r>
  <r>
    <s v="MN050004"/>
    <x v="4"/>
    <x v="4"/>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50005"/>
    <x v="4"/>
    <x v="4"/>
    <x v="1"/>
    <x v="1"/>
    <s v="05"/>
    <s v="会议签到_系统人数不一致"/>
    <s v="系统实际内外部参会人数与签到表不一致"/>
    <s v="请确认实际内外部参会人数，并解释说明"/>
    <s v="系统实际内外部参会人数与签到表不一致请确认实际内外部参会人数，并解释说明"/>
  </r>
  <r>
    <s v="MN050006"/>
    <x v="4"/>
    <x v="4"/>
    <x v="1"/>
    <x v="1"/>
    <s v="06"/>
    <s v="会议签到_第三方大会签到"/>
    <s v="根据SOP规定，所支持HCP签到为第三方大会签到，需提供大会邀请确认函"/>
    <s v="请提供"/>
    <s v="根据SOP规定，所支持HCP签到为第三方大会签到，需提供大会邀请确认函请提供"/>
  </r>
  <r>
    <s v="MN050007"/>
    <x v="4"/>
    <x v="4"/>
    <x v="1"/>
    <x v="1"/>
    <s v="07"/>
    <s v="会议签到_缺线下签到原件"/>
    <s v="根据SOP规定，非第三方大会的线下签到单原件需邮寄至我司"/>
    <s v="请将原件邮寄至我司，邮寄后提供快递单号"/>
    <s v="根据SOP规定，非第三方大会的线下签到单原件需邮寄至我司请将原件邮寄至我司，邮寄后提供快递单号"/>
  </r>
  <r>
    <s v="MN050008"/>
    <x v="4"/>
    <x v="4"/>
    <x v="1"/>
    <x v="1"/>
    <s v="08"/>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50009"/>
    <x v="4"/>
    <x v="4"/>
    <x v="1"/>
    <x v="1"/>
    <s v="09"/>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50010"/>
    <x v="4"/>
    <x v="4"/>
    <x v="1"/>
    <x v="1"/>
    <s v="10"/>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50011"/>
    <x v="4"/>
    <x v="4"/>
    <x v="1"/>
    <x v="1"/>
    <s v="11"/>
    <s v="会议照片_缺支持HCP"/>
    <s v="根据SOP规定，会议照片应显示所支持HCP"/>
    <s v="请补充提供，如不符合要求将不予报销"/>
    <s v="根据SOP规定，会议照片应显示所支持HCP请补充提供，如不符合要求将不予报销"/>
  </r>
  <r>
    <s v="MN050012"/>
    <x v="4"/>
    <x v="4"/>
    <x v="1"/>
    <x v="1"/>
    <s v="12"/>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50013"/>
    <x v="4"/>
    <x v="4"/>
    <x v="1"/>
    <x v="1"/>
    <s v="13"/>
    <s v="会议人数_内部人数不符"/>
    <s v="根据SOP规定，三方会-支持内部参会者不可少于1人（包含会议组织者）"/>
    <s v="请确认实际内部参会人数"/>
    <s v="根据SOP规定，三方会-支持内部参会者不可少于1人（包含会议组织者）请确认实际内部参会人数"/>
  </r>
  <r>
    <s v="MN050014"/>
    <x v="4"/>
    <x v="4"/>
    <x v="1"/>
    <x v="1"/>
    <s v="14"/>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50015"/>
    <x v="4"/>
    <x v="4"/>
    <x v="1"/>
    <x v="1"/>
    <s v="15"/>
    <s v="报销范围_费用"/>
    <s v="根据SOP规定，学术论坛可报销费用有餐饮、住宿费和交通费"/>
    <s v="额外费用不予报销已为您扣除"/>
    <s v="根据SOP规定，学术论坛可报销费用有餐饮、住宿费和交通费额外费用不予报销已为您扣除"/>
  </r>
  <r>
    <s v="MN050301"/>
    <x v="4"/>
    <x v="4"/>
    <x v="3"/>
    <x v="3"/>
    <s v="01"/>
    <s v="HCP飞机标准"/>
    <s v="根据SOP规定，HCP乘坐飞机，需选择经济舱，单程飞行时间超出8小时可提供商务舱。高于上述标准的交通需事前经业务部负责人、合规审计部负责人及 CEO书面批准。"/>
    <s v="请提供"/>
    <s v="根据SOP规定，HCP乘坐飞机，需选择经济舱，单程飞行时间超出8小时可提供商务舱。高于上述标准的交通需事前经业务部负责人、合规审计部负责人及 CEO书面批准。请提供"/>
  </r>
  <r>
    <s v="MN050401"/>
    <x v="4"/>
    <x v="4"/>
    <x v="4"/>
    <x v="4"/>
    <s v="01"/>
    <s v="会议租车明细"/>
    <s v="根据SOP规定，租车费用，提供详细行程单，包含：日期、接送人具体时间、客人姓名/电话、行程起点详细地址、送达详细地址、车型、金额等信息"/>
    <s v="请补充提供"/>
    <s v="根据SOP规定，租车费用，提供详细行程单，包含：日期、接送人具体时间、客人姓名/电话、行程起点详细地址、送达详细地址、车型、金额等信息请补充提供"/>
  </r>
  <r>
    <s v="MN050402"/>
    <x v="4"/>
    <x v="4"/>
    <x v="4"/>
    <x v="4"/>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403"/>
    <x v="4"/>
    <x v="4"/>
    <x v="4"/>
    <x v="4"/>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501"/>
    <x v="4"/>
    <x v="4"/>
    <x v="5"/>
    <x v="5"/>
    <s v="01"/>
    <s v="HCP火车标准"/>
    <s v="根据SOP规定，HCP火车出行不得提供商务舱坐席，高于上述标准的交通需事前经业务部负责人、合规审计部负责人及 CEO书面批准。"/>
    <s v="请提供"/>
    <s v="根据SOP规定，HCP火车出行不得提供商务舱坐席，高于上述标准的交通需事前经业务部负责人、合规审计部负责人及 CEO书面批准。请提供"/>
  </r>
  <r>
    <s v="MN050601"/>
    <x v="4"/>
    <x v="4"/>
    <x v="6"/>
    <x v="6"/>
    <s v="01"/>
    <s v="无会议的茶歇"/>
    <s v="根据SOP规定，会议茶歇不得独立于会议之外提供"/>
    <s v="请解释说明"/>
    <s v="根据SOP规定，会议茶歇不得独立于会议之外提供请解释说明"/>
  </r>
  <r>
    <s v="MN050602"/>
    <x v="4"/>
    <x v="4"/>
    <x v="6"/>
    <x v="6"/>
    <s v="02"/>
    <s v="超市、商场或水果市场购买费用"/>
    <s v="根据SOP规定，超市、商场或水果市场购买的费用，需要提供明细"/>
    <s v="请提供"/>
    <s v="根据SOP规定，超市、商场或水果市场购买的费用，需要提供明细请提供"/>
  </r>
  <r>
    <s v="MN050603"/>
    <x v="4"/>
    <x v="4"/>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604"/>
    <x v="4"/>
    <x v="4"/>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701"/>
    <x v="4"/>
    <x v="4"/>
    <x v="7"/>
    <x v="7"/>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702"/>
    <x v="4"/>
    <x v="4"/>
    <x v="7"/>
    <x v="7"/>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801"/>
    <x v="4"/>
    <x v="4"/>
    <x v="8"/>
    <x v="8"/>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802"/>
    <x v="4"/>
    <x v="4"/>
    <x v="8"/>
    <x v="8"/>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0901"/>
    <x v="4"/>
    <x v="4"/>
    <x v="9"/>
    <x v="9"/>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0902"/>
    <x v="4"/>
    <x v="4"/>
    <x v="9"/>
    <x v="9"/>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1001"/>
    <x v="4"/>
    <x v="4"/>
    <x v="10"/>
    <x v="10"/>
    <s v="01"/>
    <s v="HCP住宿标准"/>
    <s v="根据SOP规定，提供HCP的住宿费北上广深不得超过1000元/人/晚，其他城市不超过750元/人/晚，海外城市不超过2000元/人/晚，高于上述标准的住宿费需事前获得业务部负责人和合规审计部负责人的书面批准"/>
    <s v="请提供"/>
    <s v="根据SOP规定，提供HCP的住宿费北上广深不得超过1000元/人/晚，其他城市不超过750元/人/晚，海外城市不超过2000元/人/晚，高于上述标准的住宿费需事前获得业务部负责人和合规审计部负责人的书面批准请提供"/>
  </r>
  <r>
    <s v="MN051002"/>
    <x v="4"/>
    <x v="4"/>
    <x v="10"/>
    <x v="10"/>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1003"/>
    <x v="4"/>
    <x v="4"/>
    <x v="10"/>
    <x v="10"/>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51101"/>
    <x v="4"/>
    <x v="4"/>
    <x v="11"/>
    <x v="11"/>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51102"/>
    <x v="4"/>
    <x v="4"/>
    <x v="11"/>
    <x v="11"/>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0101"/>
    <x v="5"/>
    <x v="5"/>
    <x v="0"/>
    <x v="0"/>
    <s v="01"/>
    <s v="非讲者库讲者"/>
    <s v="根据SOP规定，报销讲课费的讲者必须是讲者库中的讲者，且不能在会议结束后特批补入库"/>
    <s v="不符合要求不予支付讲课费"/>
    <s v="根据SOP规定，报销讲课费的讲者必须是讲者库中的讲者，且不能在会议结束后特批补入库不符合要求不予支付讲课费"/>
  </r>
  <r>
    <s v="MN060102"/>
    <x v="5"/>
    <x v="5"/>
    <x v="0"/>
    <x v="0"/>
    <s v="02"/>
    <s v="业务约定书不完整"/>
    <s v="根据SOP规定，业务约定书需完整正确的填写，并由HCP签字后将完整原件邮寄至我司"/>
    <s v="请提供"/>
    <s v="根据SOP规定，业务约定书需完整正确的填写，并由HCP签字后将完整原件邮寄至我司请提供"/>
  </r>
  <r>
    <s v="MN060103"/>
    <x v="5"/>
    <x v="5"/>
    <x v="0"/>
    <x v="0"/>
    <s v="03"/>
    <s v="讲者人数超标"/>
    <s v="根据SOP规定，培训会讲者人数与参会人数比例比低于1:5"/>
    <s v="请确认，并告知需扣除讲课费的HCP姓名"/>
    <s v="根据SOP规定，培训会讲者人数与参会人数比例比低于1:5请确认，并告知需扣除讲课费的HCP姓名"/>
  </r>
  <r>
    <s v="MN060105"/>
    <x v="5"/>
    <x v="5"/>
    <x v="0"/>
    <x v="0"/>
    <s v="05"/>
    <s v="讲者未全程参会"/>
    <s v="根据SOP规定，支付讲课费的专家需全程参会，并签到"/>
    <s v="请补充提供签到，不符合要求不予支付讲课费"/>
    <s v="根据SOP规定，支付讲课费的专家需全程参会，并签到请补充提供签到，不符合要求不予支付讲课费"/>
  </r>
  <r>
    <s v="MN060106"/>
    <x v="5"/>
    <x v="5"/>
    <x v="0"/>
    <x v="0"/>
    <s v="06"/>
    <s v="演讲时长不达标"/>
    <s v="根据SOP规定，培训会若采取老师授课形式，则演讲时间不少于20分钟"/>
    <s v="不符合要求不予支付讲课费"/>
    <s v="根据SOP规定，培训会若采取老师授课形式，则演讲时间不少于20分钟不符合要求不予支付讲课费"/>
  </r>
  <r>
    <s v="MN060107"/>
    <x v="5"/>
    <x v="5"/>
    <x v="0"/>
    <x v="0"/>
    <s v="07"/>
    <s v="点评时长不达标"/>
    <s v="根据SOP规定，培训会若采取点评、指导或辅导形式，老师累计点评时间不得少于10分钟"/>
    <s v="不符合要求不予支付讲课费"/>
    <s v="根据SOP规定，培训会若采取点评、指导或辅导形式，老师累计点评时间不得少于10分钟不符合要求不予支付讲课费"/>
  </r>
  <r>
    <s v="MN060108"/>
    <x v="5"/>
    <x v="5"/>
    <x v="0"/>
    <x v="0"/>
    <s v="08"/>
    <s v="讲课费标准"/>
    <s v="根据SOP规定，培训会若采取点评、指导或辅导形式，讲课费支付标准为80%*职级标准"/>
    <s v="将为您扣除差额"/>
    <s v="根据SOP规定，培训会若采取点评、指导或辅导形式，讲课费支付标准为80%*职级标准将为您扣除差额"/>
  </r>
  <r>
    <s v="MN060109"/>
    <x v="5"/>
    <x v="5"/>
    <x v="0"/>
    <x v="0"/>
    <s v="09"/>
    <s v="讲者级别"/>
    <s v="根据SOP规定，培训会点评专家限全国级和区域级HCP"/>
    <s v="不符合要求不予支付讲课费"/>
    <s v="根据SOP规定，培训会点评专家限全国级和区域级HCP不符合要求不予支付讲课费"/>
  </r>
  <r>
    <s v="MN060001"/>
    <x v="5"/>
    <x v="5"/>
    <x v="1"/>
    <x v="1"/>
    <s v="01"/>
    <s v="会议权限_学术论坛"/>
    <s v="根据SOP规定，培训会可举办的组织者岗位为市场部经理及以上级别和大区业务销售经理及以上，您无权限举办此类型会议"/>
    <s v="请提供逐级审批至部门负责人的授权邮件并抄送合规"/>
    <s v="根据SOP规定，培训会可举办的组织者岗位为市场部经理及以上级别和大区业务销售经理及以上，您无权限举办此类型会议请提供逐级审批至部门负责人的授权邮件并抄送合规"/>
  </r>
  <r>
    <s v="MN060002"/>
    <x v="5"/>
    <x v="5"/>
    <x v="1"/>
    <x v="1"/>
    <s v="02"/>
    <s v="会议议程_变更"/>
    <s v="学会活动变更会议时间、会议地点需提供企业微信变更流程或变更审批邮件"/>
    <s v="请提供"/>
    <s v="学会活动变更会议时间、会议地点需提供企业微信变更流程或变更审批邮件请提供"/>
  </r>
  <r>
    <s v="MN060003"/>
    <x v="5"/>
    <x v="5"/>
    <x v="1"/>
    <x v="1"/>
    <s v="03"/>
    <s v="会议议程_不一致"/>
    <s v="会议议程内容与系统填报的实际会议情况不一致"/>
    <s v="请确认并提供更新的会议议程"/>
    <s v="会议议程内容与系统填报的实际会议情况不一致请确认并提供更新的会议议程"/>
  </r>
  <r>
    <s v="MN060004"/>
    <x v="5"/>
    <x v="5"/>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60005"/>
    <x v="5"/>
    <x v="5"/>
    <x v="1"/>
    <x v="1"/>
    <s v="05"/>
    <s v="会议议程_时长不足"/>
    <s v="根据SOP规定，培训会会议时长需≥ 半天（2-4H）"/>
    <s v="请确认"/>
    <s v="根据SOP规定，培训会会议时长需≥ 半天（2-4H）请确认"/>
  </r>
  <r>
    <s v="MN060006"/>
    <x v="5"/>
    <x v="5"/>
    <x v="1"/>
    <x v="1"/>
    <s v="06"/>
    <s v="会议地点_禁止景区"/>
    <s v="根据SOP规定，禁止在景区名胜或铺张奢侈的地点举办或参加会议"/>
    <s v="不符合要求不予报销"/>
    <s v="根据SOP规定，禁止在景区名胜或铺张奢侈的地点举办或参加会议不符合要求不予报销"/>
  </r>
  <r>
    <s v="MN060007"/>
    <x v="5"/>
    <x v="5"/>
    <x v="1"/>
    <x v="1"/>
    <s v="07"/>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60008"/>
    <x v="5"/>
    <x v="5"/>
    <x v="1"/>
    <x v="1"/>
    <s v="08"/>
    <s v="会议签到_系统人数不一致"/>
    <s v="系统实际内外部参会人数与签到表不一致"/>
    <s v="请确认实际内外部参会人数，并解释说明"/>
    <s v="系统实际内外部参会人数与签到表不一致请确认实际内外部参会人数，并解释说明"/>
  </r>
  <r>
    <s v="MN060009"/>
    <x v="5"/>
    <x v="5"/>
    <x v="1"/>
    <x v="1"/>
    <s v="09"/>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60010"/>
    <x v="5"/>
    <x v="5"/>
    <x v="1"/>
    <x v="1"/>
    <s v="10"/>
    <s v="会议签到_缺线下签到原件"/>
    <s v="根据SOP规定，线下签到单原件需邮寄至我司"/>
    <s v="请将原件邮寄至我司，邮寄后提供快递单号"/>
    <s v="根据SOP规定，线下签到单原件需邮寄至我司请将原件邮寄至我司，邮寄后提供快递单号"/>
  </r>
  <r>
    <s v="MN060011"/>
    <x v="5"/>
    <x v="5"/>
    <x v="1"/>
    <x v="1"/>
    <s v="11"/>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60012"/>
    <x v="5"/>
    <x v="5"/>
    <x v="1"/>
    <x v="1"/>
    <s v="12"/>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60013"/>
    <x v="5"/>
    <x v="5"/>
    <x v="1"/>
    <x v="1"/>
    <s v="13"/>
    <s v="会议照片_缺会议主题"/>
    <s v="根据SOP规定，会议照片需体现并反映会议主题（如PPT标题、横幅、易拉宝等），且照片中的会议主题需清洗"/>
    <s v="请补充提供，如不符合要求将不予报销"/>
    <s v="根据SOP规定，会议照片需体现并反映会议主题（如PPT标题、横幅、易拉宝等），且照片中的会议主题需清洗请补充提供，如不符合要求将不予报销"/>
  </r>
  <r>
    <s v="MN060014"/>
    <x v="5"/>
    <x v="5"/>
    <x v="1"/>
    <x v="1"/>
    <s v="14"/>
    <s v="会议照片_缺付费讲者"/>
    <s v="根据SOP规定，付费讲者需提供正面清晰演讲照片，照片应体现付费讲者和一张会议幻灯稿同框的场景，要求可识别付费讲者并能体现所参加会议"/>
    <s v="请补充提供，如不符合要求将不予报销"/>
    <s v="根据SOP规定，付费讲者需提供正面清晰演讲照片，照片应体现付费讲者和一张会议幻灯稿同框的场景，要求可识别付费讲者并能体现所参加会议请补充提供，如不符合要求将不予报销"/>
  </r>
  <r>
    <s v="MN060015"/>
    <x v="5"/>
    <x v="5"/>
    <x v="1"/>
    <x v="1"/>
    <s v="15"/>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60016"/>
    <x v="5"/>
    <x v="5"/>
    <x v="1"/>
    <x v="1"/>
    <s v="16"/>
    <s v="会议照片_人数标准不符"/>
    <s v="根据SOP规定，培训会会议照片需显示50%及以上参会人员（内+外）"/>
    <s v="请补充提供，如不符合要求将不予报销"/>
    <s v="根据SOP规定，培训会会议照片需显示50%及以上参会人员（内+外）请补充提供，如不符合要求将不予报销"/>
  </r>
  <r>
    <s v="MN060017"/>
    <x v="5"/>
    <x v="5"/>
    <x v="1"/>
    <x v="1"/>
    <s v="17"/>
    <s v="会议人数_内部人数不符"/>
    <s v="根据SOP规定，培训会内部参与培训人员不得低于5人"/>
    <s v="请确认实际内部参会人数"/>
    <s v="根据SOP规定，培训会内部参与培训人员不得低于5人请确认实际内部参会人数"/>
  </r>
  <r>
    <s v="MN060018"/>
    <x v="5"/>
    <x v="5"/>
    <x v="1"/>
    <x v="1"/>
    <s v="18"/>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60019"/>
    <x v="5"/>
    <x v="5"/>
    <x v="1"/>
    <x v="1"/>
    <s v="19"/>
    <s v="报销范围_费用"/>
    <s v="根据SOP规定，培训会可报销费用有讲课费、餐饮、住宿费、场租和交通费"/>
    <s v="额外费用不予报销已为您扣除"/>
    <s v="根据SOP规定，培训会可报销费用有讲课费、餐饮、住宿费、场租和交通费额外费用不予报销已为您扣除"/>
  </r>
  <r>
    <s v="MN060201"/>
    <x v="5"/>
    <x v="5"/>
    <x v="2"/>
    <x v="2"/>
    <s v="01"/>
    <s v="缺餐厅门头照"/>
    <s v="根据SOP规定，会议餐费需提供餐厅门头照"/>
    <s v="请提供"/>
    <s v="根据SOP规定，会议餐费需提供餐厅门头照请提供"/>
  </r>
  <r>
    <s v="MN060202"/>
    <x v="5"/>
    <x v="5"/>
    <x v="2"/>
    <x v="2"/>
    <s v="02"/>
    <s v="餐费与会议时间不相连"/>
    <s v="根据SOP规定，会议餐费用餐时间应与会议时间相连，且与正常午餐或晚餐时间相近"/>
    <s v="请解释说明"/>
    <s v="根据SOP规定，会议餐费用餐时间应与会议时间相连，且与正常午餐或晚餐时间相近请解释说明"/>
  </r>
  <r>
    <s v="MN060203"/>
    <x v="5"/>
    <x v="5"/>
    <x v="2"/>
    <x v="2"/>
    <s v="03"/>
    <s v="会议餐费超人均"/>
    <s v="根据SOP规定，会议餐费，不应超过人均 300 元。如有超过上述标准的特殊情况，需获得部门负责人的审批"/>
    <s v="请提供"/>
    <s v="根据SOP规定，会议餐费，不应超过人均 300 元。如有超过上述标准的特殊情况，需获得部门负责人的审批请提供"/>
  </r>
  <r>
    <s v="MN060204"/>
    <x v="5"/>
    <x v="5"/>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60205"/>
    <x v="5"/>
    <x v="5"/>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0206"/>
    <x v="5"/>
    <x v="5"/>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0301"/>
    <x v="5"/>
    <x v="5"/>
    <x v="3"/>
    <x v="3"/>
    <s v="01"/>
    <s v="HCP飞机标准"/>
    <s v="根据SOP规定，HCP乘坐飞机，需选择经济舱，单程飞行时间超出8小时可提供商务舱。高于上述标准的交通需事前经业务部负责人、合规审计部负责人及 CEO书面批准。"/>
    <s v="请提供"/>
    <s v="根据SOP规定，HCP乘坐飞机，需选择经济舱，单程飞行时间超出8小时可提供商务舱。高于上述标准的交通需事前经业务部负责人、合规审计部负责人及 CEO书面批准。请提供"/>
  </r>
  <r>
    <s v="MN060401"/>
    <x v="5"/>
    <x v="5"/>
    <x v="4"/>
    <x v="4"/>
    <s v="01"/>
    <s v="会议租车明细"/>
    <s v="根据SOP规定，租车费用，提供详细行程单，包含：日期、接送人具体时间、客人姓名/电话、行程起点详细地址、送达详细地址、车型、金额等信息"/>
    <s v="请补充提供"/>
    <s v="根据SOP规定，租车费用，提供详细行程单，包含：日期、接送人具体时间、客人姓名/电话、行程起点详细地址、送达详细地址、车型、金额等信息请补充提供"/>
  </r>
  <r>
    <s v="MN060402"/>
    <x v="5"/>
    <x v="5"/>
    <x v="4"/>
    <x v="4"/>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0403"/>
    <x v="5"/>
    <x v="5"/>
    <x v="4"/>
    <x v="4"/>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0501"/>
    <x v="5"/>
    <x v="5"/>
    <x v="5"/>
    <x v="5"/>
    <s v="01"/>
    <s v="HCP火车标准"/>
    <s v="根据SOP规定，HCP火车出行不得提供商务舱坐席，高于上述标准的交通需事前经业务部负责人、合规审计部负责人及 CEO书面批准。"/>
    <s v="请提供"/>
    <s v="根据SOP规定，HCP火车出行不得提供商务舱坐席，高于上述标准的交通需事前经业务部负责人、合规审计部负责人及 CEO书面批准。请提供"/>
  </r>
  <r>
    <s v="MN060601"/>
    <x v="5"/>
    <x v="5"/>
    <x v="6"/>
    <x v="6"/>
    <s v="01"/>
    <s v="无会议的茶歇"/>
    <s v="根据SOP规定，会议茶歇不得独立于会议之外提供"/>
    <s v="请解释说明"/>
    <s v="根据SOP规定，会议茶歇不得独立于会议之外提供请解释说明"/>
  </r>
  <r>
    <s v="MN060602"/>
    <x v="5"/>
    <x v="5"/>
    <x v="6"/>
    <x v="6"/>
    <s v="02"/>
    <s v="超市、商场或水果市场购买费用"/>
    <s v="根据SOP规定，超市、商场或水果市场购买的费用，需要提供明细"/>
    <s v="请提供"/>
    <s v="根据SOP规定，超市、商场或水果市场购买的费用，需要提供明细请提供"/>
  </r>
  <r>
    <s v="MN060603"/>
    <x v="5"/>
    <x v="5"/>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0604"/>
    <x v="5"/>
    <x v="5"/>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0701"/>
    <x v="5"/>
    <x v="5"/>
    <x v="7"/>
    <x v="7"/>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0702"/>
    <x v="5"/>
    <x v="5"/>
    <x v="7"/>
    <x v="7"/>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0801"/>
    <x v="5"/>
    <x v="5"/>
    <x v="8"/>
    <x v="8"/>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0802"/>
    <x v="5"/>
    <x v="5"/>
    <x v="8"/>
    <x v="8"/>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1001"/>
    <x v="5"/>
    <x v="5"/>
    <x v="10"/>
    <x v="10"/>
    <s v="01"/>
    <s v="HCP住宿标准"/>
    <s v="根据SOP规定，提供HCP的住宿费北上广深不得超过1000元/人/晚，其他城市不超过750元/人/晚，海外城市不超过2000元/人/晚，高于上述标准的住宿费需事前获得业务部负责人和合规审计部负责人的书面批准"/>
    <s v="请提供"/>
    <s v="根据SOP规定，提供HCP的住宿费北上广深不得超过1000元/人/晚，其他城市不超过750元/人/晚，海外城市不超过2000元/人/晚，高于上述标准的住宿费需事前获得业务部负责人和合规审计部负责人的书面批准请提供"/>
  </r>
  <r>
    <s v="MN061002"/>
    <x v="5"/>
    <x v="5"/>
    <x v="10"/>
    <x v="10"/>
    <s v="02"/>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1003"/>
    <x v="5"/>
    <x v="5"/>
    <x v="10"/>
    <x v="10"/>
    <s v="03"/>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61101"/>
    <x v="5"/>
    <x v="5"/>
    <x v="11"/>
    <x v="11"/>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61102"/>
    <x v="5"/>
    <x v="5"/>
    <x v="11"/>
    <x v="11"/>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70201"/>
    <x v="6"/>
    <x v="6"/>
    <x v="2"/>
    <x v="2"/>
    <s v="01"/>
    <s v="缺餐厅门头照"/>
    <s v="根据SOP规定，会议餐费需提供餐厅门头照"/>
    <s v="请提供"/>
    <s v="根据SOP规定，会议餐费需提供餐厅门头照请提供"/>
  </r>
  <r>
    <s v="MN070202"/>
    <x v="6"/>
    <x v="6"/>
    <x v="2"/>
    <x v="2"/>
    <s v="02"/>
    <s v="餐费与会议时间不相连"/>
    <s v="根据SOP规定，会议餐费用餐时间应与会议时间相连，且为工作餐或小食性质"/>
    <s v="请解释说明"/>
    <s v="根据SOP规定，会议餐费用餐时间应与会议时间相连，且为工作餐或小食性质请解释说明"/>
  </r>
  <r>
    <s v="MN070203"/>
    <x v="6"/>
    <x v="6"/>
    <x v="2"/>
    <x v="2"/>
    <s v="03"/>
    <s v="会议餐费超人均"/>
    <s v="根据SOP规定，会议餐费，不应超过人均200 元。如有超过上述标准的特殊情况，需获得部门负责人的审批"/>
    <s v="请提供"/>
    <s v="根据SOP规定，会议餐费，不应超过人均200 元。如有超过上述标准的特殊情况，需获得部门负责人的审批请提供"/>
  </r>
  <r>
    <s v="MN070204"/>
    <x v="6"/>
    <x v="6"/>
    <x v="2"/>
    <x v="2"/>
    <s v="04"/>
    <s v="缺少水单"/>
    <s v="根据SOP规定，会议餐费≥300元，需提供水单明细"/>
    <s v="请将水单原件邮寄至我司，并将水单照片或扫描件补充上传至评论区"/>
    <s v="根据SOP规定，会议餐费≥300元，需提供水单明细请将水单原件邮寄至我司，并将水单照片或扫描件补充上传至评论区"/>
  </r>
  <r>
    <s v="MN070205"/>
    <x v="6"/>
    <x v="6"/>
    <x v="2"/>
    <x v="2"/>
    <s v="05"/>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70206"/>
    <x v="6"/>
    <x v="6"/>
    <x v="2"/>
    <x v="2"/>
    <s v="06"/>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70001"/>
    <x v="6"/>
    <x v="6"/>
    <x v="1"/>
    <x v="1"/>
    <s v="01"/>
    <s v="会议权限_学术论坛"/>
    <s v="根据SOP规定，临床研究-临床研究启动会可举办的组织者岗位为临床研究专员、医学副经理及以上人员，您无权限举办此类型会议"/>
    <s v="请提供逐级审批至部门负责人的授权邮件并抄送合规"/>
    <s v="根据SOP规定，临床研究-临床研究启动会可举办的组织者岗位为临床研究专员、医学副经理及以上人员，您无权限举办此类型会议请提供逐级审批至部门负责人的授权邮件并抄送合规"/>
  </r>
  <r>
    <s v="MN070002"/>
    <x v="6"/>
    <x v="6"/>
    <x v="1"/>
    <x v="1"/>
    <s v="02"/>
    <s v="会议议程_变更"/>
    <s v="学会活动变更会议时间、会议地点需提供企业微信变更流程或变更审批邮件"/>
    <s v="请提供"/>
    <s v="学会活动变更会议时间、会议地点需提供企业微信变更流程或变更审批邮件请提供"/>
  </r>
  <r>
    <s v="MN070003"/>
    <x v="6"/>
    <x v="6"/>
    <x v="1"/>
    <x v="1"/>
    <s v="03"/>
    <s v="会议议程_不一致"/>
    <s v="会议议程内容与系统填报的实际会议情况不一致"/>
    <s v="请确认并提供更新的会议议程"/>
    <s v="会议议程内容与系统填报的实际会议情况不一致请确认并提供更新的会议议程"/>
  </r>
  <r>
    <s v="MN070004"/>
    <x v="6"/>
    <x v="6"/>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70005"/>
    <x v="6"/>
    <x v="6"/>
    <x v="1"/>
    <x v="1"/>
    <s v="05"/>
    <s v="会议议程_时长不足"/>
    <s v="根据SOP规定，临床研究-临床研究启动会会议时长不超过1天"/>
    <s v="请确认"/>
    <s v="根据SOP规定，临床研究-临床研究启动会会议时长不超过1天请确认"/>
  </r>
  <r>
    <s v="MN070006"/>
    <x v="6"/>
    <x v="6"/>
    <x v="1"/>
    <x v="1"/>
    <s v="06"/>
    <s v="会议地点_不得跨区"/>
    <s v="根据SOP规定，会议地点仅限于研究中心内相关会议场所"/>
    <s v="请提供"/>
    <s v="根据SOP规定，会议地点仅限于研究中心内相关会议场所请提供"/>
  </r>
  <r>
    <s v="MN070007"/>
    <x v="6"/>
    <x v="6"/>
    <x v="1"/>
    <x v="1"/>
    <s v="07"/>
    <s v="会议地点_禁止景区"/>
    <s v="根据SOP规定，禁止在景区名胜或铺张奢侈的地点举办或参加会议"/>
    <s v="不符合要求不予报销"/>
    <s v="根据SOP规定，禁止在景区名胜或铺张奢侈的地点举办或参加会议不符合要求不予报销"/>
  </r>
  <r>
    <s v="MN070008"/>
    <x v="6"/>
    <x v="6"/>
    <x v="1"/>
    <x v="1"/>
    <s v="08"/>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70009"/>
    <x v="6"/>
    <x v="6"/>
    <x v="1"/>
    <x v="1"/>
    <s v="09"/>
    <s v="会议签到_系统人数不一致"/>
    <s v="系统实际内外部参会人数与签到表不一致"/>
    <s v="请确认实际内外部参会人数，并解释说明"/>
    <s v="系统实际内外部参会人数与签到表不一致请确认实际内外部参会人数，并解释说明"/>
  </r>
  <r>
    <s v="MN070010"/>
    <x v="6"/>
    <x v="6"/>
    <x v="1"/>
    <x v="1"/>
    <s v="10"/>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70011"/>
    <x v="6"/>
    <x v="6"/>
    <x v="1"/>
    <x v="1"/>
    <s v="11"/>
    <s v="会议签到_缺线下签到原件"/>
    <s v="根据SOP规定，线下签到单原件需邮寄至我司"/>
    <s v="请将原件邮寄至我司，邮寄后提供快递单号，如有特殊情况请告知"/>
    <s v="根据SOP规定，线下签到单原件需邮寄至我司请将原件邮寄至我司，邮寄后提供快递单号，如有特殊情况请告知"/>
  </r>
  <r>
    <s v="MN070012"/>
    <x v="6"/>
    <x v="6"/>
    <x v="1"/>
    <x v="1"/>
    <s v="12"/>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70013"/>
    <x v="6"/>
    <x v="6"/>
    <x v="1"/>
    <x v="1"/>
    <s v="13"/>
    <s v="会议人数_内部人数不符"/>
    <s v="根据SOP规定，临床研究-临床研究启动会内部参会者不可少于2人（包含会议组织者），内外比例不超过1:5"/>
    <s v="请确认实际内部参会人数"/>
    <s v="根据SOP规定，临床研究-临床研究启动会内部参会者不可少于2人（包含会议组织者），内外比例不超过1:5请确认实际内部参会人数"/>
  </r>
  <r>
    <s v="MN070014"/>
    <x v="6"/>
    <x v="6"/>
    <x v="1"/>
    <x v="1"/>
    <s v="14"/>
    <s v="会议人数_外部人数不符"/>
    <s v="根据SOP规定，临床研究-临床研究启动会外部参会者可为合作研究中心研究者、研究护士及参与研究等相关人员，人数不限，但内外比例不超过1:5"/>
    <s v="请确认实际外部参会人"/>
    <s v="根据SOP规定，临床研究-临床研究启动会外部参会者可为合作研究中心研究者、研究护士及参与研究等相关人员，人数不限，但内外比例不超过1:5请确认实际外部参会人"/>
  </r>
  <r>
    <s v="MN070015"/>
    <x v="6"/>
    <x v="6"/>
    <x v="1"/>
    <x v="1"/>
    <s v="15"/>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70016"/>
    <x v="6"/>
    <x v="6"/>
    <x v="1"/>
    <x v="1"/>
    <s v="16"/>
    <s v="报销范围_费用"/>
    <s v="根据SOP规定，临床研究-临床研究启动会可报销费用为餐费"/>
    <s v="额外费用不予报销已为您扣除"/>
    <s v="根据SOP规定，临床研究-临床研究启动会可报销费用为餐费额外费用不予报销已为您扣除"/>
  </r>
  <r>
    <s v="MN070601"/>
    <x v="6"/>
    <x v="6"/>
    <x v="6"/>
    <x v="6"/>
    <s v="01"/>
    <s v="无会议的茶歇"/>
    <s v="根据SOP规定，会议茶歇不得独立于会议之外提供"/>
    <s v="请解释说明"/>
    <s v="根据SOP规定，会议茶歇不得独立于会议之外提供请解释说明"/>
  </r>
  <r>
    <s v="MN070602"/>
    <x v="6"/>
    <x v="6"/>
    <x v="6"/>
    <x v="6"/>
    <s v="02"/>
    <s v="超市、商场或水果市场购买费用"/>
    <s v="根据SOP规定，超市、商场或水果市场购买的费用，需要提供明细"/>
    <s v="请提供"/>
    <s v="根据SOP规定，超市、商场或水果市场购买的费用，需要提供明细请提供"/>
  </r>
  <r>
    <s v="MN070603"/>
    <x v="6"/>
    <x v="6"/>
    <x v="6"/>
    <x v="6"/>
    <s v="03"/>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70604"/>
    <x v="6"/>
    <x v="6"/>
    <x v="6"/>
    <x v="6"/>
    <s v="04"/>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70901"/>
    <x v="6"/>
    <x v="6"/>
    <x v="9"/>
    <x v="9"/>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70902"/>
    <x v="6"/>
    <x v="6"/>
    <x v="9"/>
    <x v="9"/>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71101"/>
    <x v="6"/>
    <x v="6"/>
    <x v="11"/>
    <x v="11"/>
    <s v="01"/>
    <s v="个人卡支付"/>
    <s v="根据SOP规定，个人银行卡支付超过300元，需提供付款记录及带有持卡人姓名的个人卡照片或银行对账单"/>
    <s v="请提供"/>
    <s v="根据SOP规定，个人银行卡支付超过300元，需提供付款记录及带有持卡人姓名的个人卡照片或银行对账单请提供"/>
  </r>
  <r>
    <s v="MN071102"/>
    <x v="6"/>
    <x v="6"/>
    <x v="11"/>
    <x v="11"/>
    <s v="02"/>
    <s v="现金支付"/>
    <s v="“微信零钱”、&quot;支付宝花呗”及“京东白条”支付，系统付款类型应选择“现金”非“个人卡”，需驳回修改"/>
    <s v="已为您系统驳回，请重新提交完成业务审批流程后@通知审核员"/>
    <s v="“微信零钱”、&quot;支付宝花呗”及“京东白条”支付，系统付款类型应选择“现金”非“个人卡”，需驳回修改已为您系统驳回，请重新提交完成业务审批流程后@通知审核员"/>
  </r>
  <r>
    <s v="MN081201"/>
    <x v="7"/>
    <x v="7"/>
    <x v="12"/>
    <x v="12"/>
    <s v="01"/>
    <s v="非讲者库讲者"/>
    <s v="根据SOP规定，报销咨询费的讲者必须是讲者库中的讲者，且不能在会议结束后特批补入库"/>
    <s v="不符合要求不予支付讲课费"/>
    <s v="根据SOP规定，报销咨询费的讲者必须是讲者库中的讲者，且不能在会议结束后特批补入库不符合要求不予支付讲课费"/>
  </r>
  <r>
    <s v="MN081202"/>
    <x v="7"/>
    <x v="7"/>
    <x v="12"/>
    <x v="12"/>
    <s v="02"/>
    <s v="业务约定书不完整"/>
    <s v="根据SOP规定，咨询服务协议需完整正确的填写，并由HCP签字后将完整原件邮寄至我司"/>
    <s v="请提供"/>
    <s v="根据SOP规定，咨询服务协议需完整正确的填写，并由HCP签字后将完整原件邮寄至我司请提供"/>
  </r>
  <r>
    <s v="MN081203"/>
    <x v="7"/>
    <x v="7"/>
    <x v="12"/>
    <x v="12"/>
    <s v="03"/>
    <s v="讲者人数超标"/>
    <s v="根据SOP规定，支付咨询费的人数不应超过2人"/>
    <s v="请确认，并告知需扣除讲课费的HCP姓名"/>
    <s v="根据SOP规定，支付咨询费的人数不应超过2人请确认，并告知需扣除讲课费的HCP姓名"/>
  </r>
  <r>
    <s v="MN081206"/>
    <x v="7"/>
    <x v="7"/>
    <x v="12"/>
    <x v="12"/>
    <s v="06"/>
    <s v="演讲时长不达标"/>
    <s v="根据SOP规定，专家咨询会每名专家咨询时长需≥30分钟，且至少讨论6个问题"/>
    <s v="不符合要求不予支付讲课费"/>
    <s v="根据SOP规定，专家咨询会每名专家咨询时长需≥30分钟，且至少讨论6个问题不符合要求不予支付讲课费"/>
  </r>
  <r>
    <s v="MN081210"/>
    <x v="7"/>
    <x v="7"/>
    <x v="12"/>
    <x v="12"/>
    <s v="10"/>
    <s v="专家咨询记录"/>
    <s v="根据SOP规定，专家咨询会需提供专家签字紫安琪的咨询记录"/>
    <s v="请提供"/>
    <s v="根据SOP规定，专家咨询会需提供专家签字紫安琪的咨询记录请提供"/>
  </r>
  <r>
    <s v="MN080001"/>
    <x v="7"/>
    <x v="7"/>
    <x v="1"/>
    <x v="1"/>
    <s v="01"/>
    <s v="会议权限_学术论坛"/>
    <s v="根据SOP规定，专家咨询会可举办的组织者岗位为临床运营部门副经理及以上人员、临床研究专员、医学副经理及以上人员、临床科学经理及以上人员，您无权限举办此类型会议"/>
    <s v="请提供逐级审批至部门负责人的授权邮件并抄送合规"/>
    <s v="根据SOP规定，专家咨询会可举办的组织者岗位为临床运营部门副经理及以上人员、临床研究专员、医学副经理及以上人员、临床科学经理及以上人员，您无权限举办此类型会议请提供逐级审批至部门负责人的授权邮件并抄送合规"/>
  </r>
  <r>
    <s v="MN080002"/>
    <x v="7"/>
    <x v="7"/>
    <x v="1"/>
    <x v="1"/>
    <s v="02"/>
    <s v="会议议程_变更"/>
    <s v="学会活动变更会议时间、会议地点需提供企业微信变更流程或变更审批邮件"/>
    <s v="请提供"/>
    <s v="学会活动变更会议时间、会议地点需提供企业微信变更流程或变更审批邮件请提供"/>
  </r>
  <r>
    <s v="MN080003"/>
    <x v="7"/>
    <x v="7"/>
    <x v="1"/>
    <x v="1"/>
    <s v="03"/>
    <s v="会议议程_不一致"/>
    <s v="会议议程内容与系统填报的实际会议情况不一致"/>
    <s v="请确认并提供更新的会议议程"/>
    <s v="会议议程内容与系统填报的实际会议情况不一致请确认并提供更新的会议议程"/>
  </r>
  <r>
    <s v="MN080004"/>
    <x v="7"/>
    <x v="7"/>
    <x v="1"/>
    <x v="1"/>
    <s v="04"/>
    <s v="会议议程_不完整"/>
    <s v="会议议程需包含会议日期、会议开展时间、会议地点、会议内容、演讲主题和演讲人"/>
    <s v="请补充提供"/>
    <s v="会议议程需包含会议日期、会议开展时间、会议地点、会议内容、演讲主题和演讲人请补充提供"/>
  </r>
  <r>
    <s v="MN080005"/>
    <x v="7"/>
    <x v="7"/>
    <x v="1"/>
    <x v="1"/>
    <s v="05"/>
    <s v="会议议程_时长不足"/>
    <s v="根据SOP规定，专家咨询会会议时长需≥ 30分钟且至少讨论6个问题"/>
    <s v="请确认"/>
    <s v="根据SOP规定，专家咨询会会议时长需≥ 30分钟且至少讨论6个问题请确认"/>
  </r>
  <r>
    <s v="MN080006"/>
    <x v="7"/>
    <x v="7"/>
    <x v="1"/>
    <x v="1"/>
    <s v="06"/>
    <s v="会议地点_不得跨区"/>
    <s v="根据SOP规定，会议地点仅限于研究中心内相关会议场所"/>
    <s v="请提供"/>
    <s v="根据SOP规定，会议地点仅限于研究中心内相关会议场所请提供"/>
  </r>
  <r>
    <s v="MN080007"/>
    <x v="7"/>
    <x v="7"/>
    <x v="1"/>
    <x v="1"/>
    <s v="07"/>
    <s v="会议地点_禁止景区"/>
    <s v="根据SOP规定，禁止在景区名胜或铺张奢侈的地点举办或参加会议"/>
    <s v="不符合要求不予报销"/>
    <s v="根据SOP规定，禁止在景区名胜或铺张奢侈的地点举办或参加会议不符合要求不予报销"/>
  </r>
  <r>
    <s v="MN080008"/>
    <x v="7"/>
    <x v="7"/>
    <x v="1"/>
    <x v="1"/>
    <s v="08"/>
    <s v="会议地点_禁止场所"/>
    <s v="根据SOP规定，禁止在水疗会所、温泉、度假、滑雪、高尔夫、赌博、邮轮、洗浴中心、KTV娱乐及以以上为主业的场所举办学术活动或进行业务招待活动"/>
    <s v="不符合要求不予报销"/>
    <s v="根据SOP规定，禁止在水疗会所、温泉、度假、滑雪、高尔夫、赌博、邮轮、洗浴中心、KTV娱乐及以以上为主业的场所举办学术活动或进行业务招待活动不符合要求不予报销"/>
  </r>
  <r>
    <s v="MN080009"/>
    <x v="7"/>
    <x v="7"/>
    <x v="1"/>
    <x v="1"/>
    <s v="09"/>
    <s v="会议签到_系统人数不一致"/>
    <s v="系统实际内外部参会人数与签到表不一致"/>
    <s v="请确认实际内外部参会人数，并解释说明"/>
    <s v="系统实际内外部参会人数与签到表不一致请确认实际内外部参会人数，并解释说明"/>
  </r>
  <r>
    <s v="MN080010"/>
    <x v="7"/>
    <x v="7"/>
    <x v="1"/>
    <x v="1"/>
    <s v="10"/>
    <s v="会议签到_整场未电子签到"/>
    <s v="根据SOP规定，整场会议未使用电子签到单需提供逐级审批至部门负责人的审批邮件"/>
    <s v="请提供"/>
    <s v="根据SOP规定，整场会议未使用电子签到单需提供逐级审批至部门负责人的审批邮件请提供"/>
  </r>
  <r>
    <s v="MN080011"/>
    <x v="7"/>
    <x v="7"/>
    <x v="1"/>
    <x v="1"/>
    <s v="11"/>
    <s v="会议签到_缺线下签到原件"/>
    <s v="根据SOP规定，线下签到单原件需邮寄至我司"/>
    <s v="请将原件邮寄至我司，邮寄后提供快递单号"/>
    <s v="根据SOP规定，线下签到单原件需邮寄至我司请将原件邮寄至我司，邮寄后提供快递单号"/>
  </r>
  <r>
    <s v="MN080012"/>
    <x v="7"/>
    <x v="7"/>
    <x v="1"/>
    <x v="1"/>
    <s v="12"/>
    <s v="会议签到_线下签到缺审批"/>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s v="根据SOP规定，线下签到表下方的“负责与会医疗专业人士的内部员工签字（确认以上签字及备注属实）”和“直线经理签字（确认以上签字及代表说明复核公司要求）”需相应负责人签字将为您寄回线下签到表，请补充签字后原件寄回我司"/>
  </r>
  <r>
    <s v="MN080013"/>
    <x v="7"/>
    <x v="7"/>
    <x v="1"/>
    <x v="1"/>
    <s v="13"/>
    <s v="会议照片_缺水印"/>
    <s v="根据SOP规定，会议照片需使用水印相机拍摄活动现场照片，并注明活动时间、活动地点、活动主题"/>
    <s v="请补充提供，如不符合要求将不予报销"/>
    <s v="根据SOP规定，会议照片需使用水印相机拍摄活动现场照片，并注明活动时间、活动地点、活动主题请补充提供，如不符合要求将不予报销"/>
  </r>
  <r>
    <s v="MN080014"/>
    <x v="7"/>
    <x v="7"/>
    <x v="1"/>
    <x v="1"/>
    <s v="14"/>
    <s v="会议照片_缺会议主题"/>
    <s v="根据SOP规定，专家咨询会不少于3张现场照片，要求能够体现出内外部参会者及咨询主题"/>
    <s v="请补充提供，如不符合要求将不予报销"/>
    <s v="根据SOP规定，专家咨询会不少于3张现场照片，要求能够体现出内外部参会者及咨询主题请补充提供，如不符合要求将不予报销"/>
  </r>
  <r>
    <s v="MN080015"/>
    <x v="7"/>
    <x v="7"/>
    <x v="1"/>
    <x v="1"/>
    <s v="15"/>
    <s v="会议照片_缺付费讲者"/>
    <s v="根据SOP规定，专家咨询会不少于3张现场照片，要求能够体现出内外部参会者及咨询主题"/>
    <s v="请补充提供，如不符合要求将不予报销"/>
    <s v="根据SOP规定，专家咨询会不少于3张现场照片，要求能够体现出内外部参会者及咨询主题请补充提供，如不符合要求将不予报销"/>
  </r>
  <r>
    <s v="MN080016"/>
    <x v="7"/>
    <x v="7"/>
    <x v="1"/>
    <x v="1"/>
    <s v="16"/>
    <s v="会议照片_水印与议程不一致"/>
    <s v="根据SOP规定，会议照片水印所反映拍摄时间与会议议程相一致"/>
    <s v="请补充提供，如不符合要求将不予报销"/>
    <s v="根据SOP规定，会议照片水印所反映拍摄时间与会议议程相一致请补充提供，如不符合要求将不予报销"/>
  </r>
  <r>
    <s v="MN080017"/>
    <x v="7"/>
    <x v="7"/>
    <x v="1"/>
    <x v="1"/>
    <s v="17"/>
    <s v="会议照片_人数标准不符"/>
    <s v="根据SOP规定，专家咨询会会议照片需显示50%及以上参会人员（内+外）"/>
    <s v="请补充提供，如不符合要求将不予报销"/>
    <s v="根据SOP规定，专家咨询会会议照片需显示50%及以上参会人员（内+外）请补充提供，如不符合要求将不予报销"/>
  </r>
  <r>
    <s v="MN080018"/>
    <x v="7"/>
    <x v="7"/>
    <x v="1"/>
    <x v="1"/>
    <s v="18"/>
    <s v="会议人数_内部人数不符"/>
    <s v="根据SOP规定，专家咨询会内部参会者不可少于2人（包含会议组织者）"/>
    <s v="请确认实际内部参会人数"/>
    <s v="根据SOP规定，专家咨询会内部参会者不可少于2人（包含会议组织者）请确认实际内部参会人数"/>
  </r>
  <r>
    <s v="MN080019"/>
    <x v="7"/>
    <x v="7"/>
    <x v="1"/>
    <x v="1"/>
    <s v="19"/>
    <s v="会议人数_外部参会人"/>
    <s v="根据SOP规定，专家咨询会外部外部参会者人数不超过2人，仅限限全国级和区域级HCP"/>
    <s v="请确认实际外部参会人数"/>
    <s v="根据SOP规定，专家咨询会外部外部参会者人数不超过2人，仅限限全国级和区域级HCP请确认实际外部参会人数"/>
  </r>
  <r>
    <s v="MN080020"/>
    <x v="7"/>
    <x v="7"/>
    <x v="1"/>
    <x v="1"/>
    <s v="20"/>
    <s v="报销范围_时效"/>
    <s v="根据SOP规定，原则上公司仅承担学术活动会议议程前后24小时内所产生的相关费用，例外事项需提供部门负责人及合规审计总监的共同批准"/>
    <s v="如需报销请提供特批"/>
    <s v="根据SOP规定，原则上公司仅承担学术活动会议议程前后24小时内所产生的相关费用，例外事项需提供部门负责人及合规审计总监的共同批准如需报销请提供特批"/>
  </r>
  <r>
    <s v="MN080021"/>
    <x v="7"/>
    <x v="7"/>
    <x v="1"/>
    <x v="1"/>
    <s v="21"/>
    <s v="报销范围_费用"/>
    <s v="根据SOP规定，专家咨询会可报销费用有咨询费、餐饮、住宿、场租、交通"/>
    <s v="额外费用不予报销已为您扣除"/>
    <s v="根据SOP规定，专家咨询会可报销费用有咨询费、餐饮、住宿、场租、交通额外费用不予报销已为您扣除"/>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x v="0"/>
    <x v="0"/>
    <x v="0"/>
    <x v="0"/>
    <x v="0"/>
    <x v="0"/>
    <s v="01"/>
    <s v="燃油费行程问题"/>
    <s v="根据SOP规定，月度交通费报销燃油费需提供每张燃油费的使用时间区间，行程为医院的需具体到科室"/>
    <s v="请根据要求在评论区将行程补充完整"/>
  </r>
  <r>
    <x v="0"/>
    <x v="0"/>
    <x v="1"/>
    <x v="0"/>
    <x v="0"/>
    <x v="0"/>
    <x v="0"/>
    <s v="02"/>
    <s v="出租车行程问题"/>
    <s v="根据SOP规定，月度交通费报销出租车费用，需注明具体的行程地点和事由，行程为医院的，应明确注明拜访医院及科室"/>
    <s v="请根据要求补充至HLY评论区"/>
  </r>
  <r>
    <x v="0"/>
    <x v="0"/>
    <x v="2"/>
    <x v="0"/>
    <x v="0"/>
    <x v="0"/>
    <x v="0"/>
    <s v="03"/>
    <s v="网约车行程问题"/>
    <s v="根据SOP规定，月度交通费报销网约车费用，行程为医院的，应明确注明拜访医院及科室，并提供事由"/>
    <s v="请根据要求补充至HLY评论区"/>
  </r>
  <r>
    <x v="0"/>
    <x v="0"/>
    <x v="3"/>
    <x v="0"/>
    <x v="0"/>
    <x v="0"/>
    <x v="0"/>
    <s v="04"/>
    <s v="单笔超500问题"/>
    <s v="根据SOP规定，单次费用超过人民币500元的长距离陆地交通需要使用指定供应商或有营运资质的网约车，并提供详细行程单"/>
    <s v="请补充提供，无法提供将不予报销"/>
  </r>
  <r>
    <x v="0"/>
    <x v="0"/>
    <x v="4"/>
    <x v="0"/>
    <x v="0"/>
    <x v="0"/>
    <x v="0"/>
    <s v="05"/>
    <s v="当月总额超限额"/>
    <s v="根据SOP规定，月度交通费超过标准限额，如需报销，需补充提供部门负责人的特批"/>
    <s v="请提供"/>
  </r>
  <r>
    <x v="1"/>
    <x v="1"/>
    <x v="5"/>
    <x v="0"/>
    <x v="0"/>
    <x v="1"/>
    <x v="1"/>
    <s v="01"/>
    <s v="出租车行程问题"/>
    <s v="根据SOP规定，驻地内产生的出租车，公共汽车、地铁等发票，报销时需列明行程和事由"/>
    <s v="请根据要求补充至HLY评论区"/>
  </r>
  <r>
    <x v="1"/>
    <x v="1"/>
    <x v="6"/>
    <x v="0"/>
    <x v="0"/>
    <x v="1"/>
    <x v="1"/>
    <s v="02"/>
    <s v="网约车行程问题"/>
    <s v="根据SOP规定，驻地内产生的网约车费用发票，报销时需要提供行程单和事由"/>
    <s v="请根据要求补充至HLY评论区"/>
  </r>
  <r>
    <x v="1"/>
    <x v="1"/>
    <x v="7"/>
    <x v="0"/>
    <x v="0"/>
    <x v="1"/>
    <x v="1"/>
    <s v="03"/>
    <s v="单笔超500问题"/>
    <s v="根据SOP规定，单次费用超过人民币500元的长距离陆地交通需要使用指定供应商或有营运资质的网约车，并提供详细行程单"/>
    <s v="请补充提供，无法提供将不予报销"/>
  </r>
  <r>
    <x v="1"/>
    <x v="1"/>
    <x v="8"/>
    <x v="0"/>
    <x v="0"/>
    <x v="1"/>
    <x v="1"/>
    <s v="04"/>
    <s v="OT打车问题"/>
    <s v="根据SOP规定，工作到晚上19:30分后可以报销回家出租车费，您的OT打车费用不符合要求"/>
    <s v="请确认后为您扣除"/>
  </r>
  <r>
    <x v="2"/>
    <x v="2"/>
    <x v="9"/>
    <x v="0"/>
    <x v="0"/>
    <x v="2"/>
    <x v="2"/>
    <s v="01"/>
    <s v="非套餐话费超标&amp;充值发票"/>
    <s v="根据SOP规定，报销话费金额大于350元或发票为充值发票，需要提供话费明细账单；"/>
    <s v="请补充上传至HLY评论区"/>
  </r>
  <r>
    <x v="2"/>
    <x v="2"/>
    <x v="10"/>
    <x v="0"/>
    <x v="0"/>
    <x v="2"/>
    <x v="2"/>
    <s v="02"/>
    <s v="套餐超350元"/>
    <s v="根据SOP规定，月度套餐费用超过350元的，需解释实际费用需求，并获部门负责人审批"/>
    <s v="请提供"/>
  </r>
  <r>
    <x v="2"/>
    <x v="2"/>
    <x v="11"/>
    <x v="0"/>
    <x v="0"/>
    <x v="2"/>
    <x v="2"/>
    <s v="03"/>
    <s v="手机号未备案"/>
    <s v="根据SOP规定，员工需要报销费用的手机号码须在公司备案登记。您的号码未备案，不予报销"/>
    <s v="请提供备案记录或我们帮您扣除该号码下的金额"/>
  </r>
  <r>
    <x v="2"/>
    <x v="2"/>
    <x v="12"/>
    <x v="0"/>
    <x v="0"/>
    <x v="2"/>
    <x v="2"/>
    <s v="04"/>
    <s v="话费发票无账期"/>
    <s v="您提供的电话费发票未显示费用账期，需补充提供话费账单明细或话费消费记录"/>
    <s v="请提供"/>
  </r>
  <r>
    <x v="3"/>
    <x v="3"/>
    <x v="13"/>
    <x v="0"/>
    <x v="0"/>
    <x v="3"/>
    <x v="3"/>
    <s v="01"/>
    <s v="缺水单"/>
    <s v="根据SOP规定，费用金额超过300元，需提供水单"/>
    <s v="请将水单原件邮寄至我司，并将水单照片或扫描件补充上传至评论区"/>
  </r>
  <r>
    <x v="3"/>
    <x v="3"/>
    <x v="14"/>
    <x v="0"/>
    <x v="0"/>
    <x v="3"/>
    <x v="3"/>
    <s v="02"/>
    <s v="超市、商场&amp;水果市场费用"/>
    <s v="根据SOP规定，超市、商场或水果市场购买的费用，需要提供明细"/>
    <s v="请提供"/>
  </r>
  <r>
    <x v="3"/>
    <x v="3"/>
    <x v="15"/>
    <x v="0"/>
    <x v="0"/>
    <x v="3"/>
    <x v="3"/>
    <s v="03"/>
    <s v="系统与水单人数不一致"/>
    <s v="水单用餐人数与系统填报的用餐人数不一致"/>
    <s v="请确认实际用餐人数并解释说明"/>
  </r>
  <r>
    <x v="4"/>
    <x v="4"/>
    <x v="16"/>
    <x v="0"/>
    <x v="0"/>
    <x v="4"/>
    <x v="4"/>
    <s v="01"/>
    <s v="费用超600"/>
    <s v="根据SOP规定，费用超过600元，提供营运部负责人批准邮件"/>
    <s v="请提供"/>
  </r>
  <r>
    <x v="4"/>
    <x v="4"/>
    <x v="17"/>
    <x v="0"/>
    <x v="0"/>
    <x v="4"/>
    <x v="4"/>
    <s v="02"/>
    <s v="缺少明细"/>
    <s v="根据SOP规定，报销办公用品需提供购买明细"/>
    <s v="请提供"/>
  </r>
  <r>
    <x v="5"/>
    <x v="5"/>
    <x v="18"/>
    <x v="0"/>
    <x v="0"/>
    <x v="5"/>
    <x v="5"/>
    <s v="01"/>
    <s v="费用超600"/>
    <s v="根据SOP规定，费用超过600元，提供营运部负责人批准邮件"/>
    <s v="请提供"/>
  </r>
  <r>
    <x v="5"/>
    <x v="5"/>
    <x v="19"/>
    <x v="0"/>
    <x v="0"/>
    <x v="5"/>
    <x v="5"/>
    <s v="02"/>
    <s v="缺少明细"/>
    <s v="根据SOP规定，报销IT配件需提供购买产品明细"/>
    <s v="请提供"/>
  </r>
  <r>
    <x v="6"/>
    <x v="6"/>
    <x v="20"/>
    <x v="0"/>
    <x v="0"/>
    <x v="6"/>
    <x v="6"/>
    <s v="01"/>
    <s v="缺少快递明细or底单"/>
    <s v="根据SOP规定，报销快递费用需提供快递明细单或底单"/>
    <s v="请提供"/>
  </r>
  <r>
    <x v="7"/>
    <x v="7"/>
    <x v="21"/>
    <x v="0"/>
    <x v="0"/>
    <x v="7"/>
    <x v="7"/>
    <s v="01"/>
    <s v="个人卡支付"/>
    <s v="根据SOP规定，个人银行卡支付超过300元，需提供付款记录及带有持卡人姓名的个人卡照片或银行对账单"/>
    <s v="请提供"/>
  </r>
  <r>
    <x v="7"/>
    <x v="7"/>
    <x v="22"/>
    <x v="0"/>
    <x v="0"/>
    <x v="7"/>
    <x v="7"/>
    <s v="02"/>
    <s v="现金支付"/>
    <s v="“微信零钱”、&quot;支付宝花呗”及“京东白条”支付，系统付款类型应选择“现金”非“个人卡”，需驳回修改"/>
    <s v="已为您系统驳回，请重新提交完成业务审批流程后@通知审核员"/>
  </r>
  <r>
    <x v="7"/>
    <x v="7"/>
    <x v="23"/>
    <x v="0"/>
    <x v="0"/>
    <x v="7"/>
    <x v="7"/>
    <s v="03"/>
    <s v="缺少明细"/>
    <s v="根据SOP规定，打印/复印费用≥300元，需提供水单明细"/>
    <s v="请提供"/>
  </r>
  <r>
    <x v="8"/>
    <x v="8"/>
    <x v="24"/>
    <x v="0"/>
    <x v="0"/>
    <x v="8"/>
    <x v="8"/>
    <s v="01"/>
    <s v="缺少邀请函"/>
    <s v="根据SOP规定，外部培训需提供邀请函"/>
    <s v="请提供"/>
  </r>
  <r>
    <x v="8"/>
    <x v="8"/>
    <x v="25"/>
    <x v="0"/>
    <x v="0"/>
    <x v="8"/>
    <x v="8"/>
    <s v="02"/>
    <s v="个人卡支付"/>
    <s v="根据SOP规定，个人银行卡支付超过300元，需提供付款记录及带有持卡人姓名的个人卡照片或银行对账单"/>
    <s v="请提供"/>
  </r>
  <r>
    <x v="8"/>
    <x v="8"/>
    <x v="26"/>
    <x v="0"/>
    <x v="0"/>
    <x v="8"/>
    <x v="8"/>
    <s v="03"/>
    <s v="现金支付"/>
    <s v="“微信零钱”、&quot;支付宝花呗”及“京东白条”支付，系统付款类型应选择“现金”非“个人卡”，需驳回修改"/>
    <s v="已为您系统驳回，请重新提交完成业务审批流程后@通知审核员"/>
  </r>
  <r>
    <x v="9"/>
    <x v="9"/>
    <x v="27"/>
    <x v="0"/>
    <x v="0"/>
    <x v="9"/>
    <x v="9"/>
    <s v="01"/>
    <s v="未提供临床项目名称"/>
    <s v="根据SOP规定，临床杂项费用报销时需提供临床项目名称"/>
    <s v="请提供"/>
  </r>
  <r>
    <x v="9"/>
    <x v="9"/>
    <x v="28"/>
    <x v="0"/>
    <x v="0"/>
    <x v="9"/>
    <x v="9"/>
    <s v="02"/>
    <s v="缺水单"/>
    <s v="根据SOP规定，临床杂项费用报销时需提供水单"/>
    <s v="请将水单原件邮寄至我司，并将水单照片或扫描件补充上传至评论区"/>
  </r>
  <r>
    <x v="9"/>
    <x v="9"/>
    <x v="29"/>
    <x v="0"/>
    <x v="0"/>
    <x v="9"/>
    <x v="9"/>
    <s v="03"/>
    <s v="个人卡支付"/>
    <s v="根据SOP规定，个人银行卡支付超过300元，需提供付款记录及带有持卡人姓名的个人卡照片或银行对账单"/>
    <s v="请提供"/>
  </r>
  <r>
    <x v="9"/>
    <x v="9"/>
    <x v="30"/>
    <x v="0"/>
    <x v="0"/>
    <x v="9"/>
    <x v="9"/>
    <s v="04"/>
    <s v="现金支付"/>
    <s v="“微信零钱”、&quot;支付宝花呗”及“京东白条”支付，系统付款类型应选择“现金”非“个人卡”，需驳回修改"/>
    <s v="已为您系统驳回，请重新提交完成业务审批流程后@通知审核员"/>
  </r>
  <r>
    <x v="10"/>
    <x v="10"/>
    <x v="31"/>
    <x v="0"/>
    <x v="0"/>
    <x v="10"/>
    <x v="10"/>
    <s v="01"/>
    <s v="缺水单"/>
    <s v="根据SOP规定，杂项开支费用报销时需提供水单"/>
    <s v="请将水单原件邮寄至我司，并将水单照片或扫描件补充上传至评论区"/>
  </r>
  <r>
    <x v="10"/>
    <x v="10"/>
    <x v="32"/>
    <x v="0"/>
    <x v="0"/>
    <x v="10"/>
    <x v="10"/>
    <s v="02"/>
    <s v="缺事由说明"/>
    <s v="根据SOP规定，杂项开支费用报销时需提供事由说明"/>
    <s v="请在评论区补充"/>
  </r>
  <r>
    <x v="10"/>
    <x v="10"/>
    <x v="33"/>
    <x v="0"/>
    <x v="0"/>
    <x v="10"/>
    <x v="10"/>
    <s v="03"/>
    <s v="个人卡支付"/>
    <s v="根据SOP规定，个人银行卡支付超过300元，需提供付款记录及带有持卡人姓名的个人卡照片或银行对账单"/>
    <s v="请提供"/>
  </r>
  <r>
    <x v="10"/>
    <x v="10"/>
    <x v="34"/>
    <x v="0"/>
    <x v="0"/>
    <x v="10"/>
    <x v="10"/>
    <s v="04"/>
    <s v="现金支付"/>
    <s v="“微信零钱”、&quot;支付宝花呗”及“京东白条”支付，系统付款类型应选择“现金”非“个人卡”，需驳回修改"/>
    <s v="已为您系统驳回，请重新提交完成业务审批流程后@通知审核员"/>
  </r>
  <r>
    <x v="11"/>
    <x v="11"/>
    <x v="35"/>
    <x v="0"/>
    <x v="0"/>
    <x v="11"/>
    <x v="11"/>
    <s v="01"/>
    <s v="缺行程单or发票及订单"/>
    <s v="根据SOP规定，报销机票费用需提供机票行程单或发票及订单"/>
    <s v="请根据要求补充提供，如无法提供请提供财务总监特批"/>
  </r>
  <r>
    <x v="11"/>
    <x v="11"/>
    <x v="36"/>
    <x v="0"/>
    <x v="0"/>
    <x v="11"/>
    <x v="11"/>
    <s v="02"/>
    <s v="缺携程订单or比价单or特批"/>
    <s v="根据SOP规定，机票费用如是通过携程商旅上预订的，需提供携程订单；未在携程上预订，需要提供当时低_x000a_于携程订购价、会议邀请等支持性文件或财务总监审批邮件；"/>
    <s v="请根据要求补充提供"/>
  </r>
  <r>
    <x v="12"/>
    <x v="12"/>
    <x v="37"/>
    <x v="0"/>
    <x v="0"/>
    <x v="12"/>
    <x v="12"/>
    <s v="01"/>
    <s v="火车费用类型错"/>
    <s v="火车发票系统费用类型应选择“火车”，非“交通费出差”等其他费用类型，需系统驳回修改"/>
    <s v="已为您系统驳回，请重新提交完成业务审批流程后@通知审核员"/>
  </r>
  <r>
    <x v="13"/>
    <x v="13"/>
    <x v="38"/>
    <x v="0"/>
    <x v="0"/>
    <x v="13"/>
    <x v="13"/>
    <s v="01"/>
    <s v="缺发票or入住账单"/>
    <s v="根据SOP规定，报销住宿费用需提供发票和酒店入住账单"/>
    <s v="请根据要求补充提供"/>
  </r>
  <r>
    <x v="13"/>
    <x v="13"/>
    <x v="39"/>
    <x v="0"/>
    <x v="0"/>
    <x v="13"/>
    <x v="13"/>
    <s v="02"/>
    <s v="个人卡支付"/>
    <s v="根据SOP规定，个人银行卡支付超过300元，需提供付款记录及带有持卡人姓名的个人卡照片或银行对账单"/>
    <s v="请提供"/>
  </r>
  <r>
    <x v="13"/>
    <x v="13"/>
    <x v="40"/>
    <x v="0"/>
    <x v="0"/>
    <x v="13"/>
    <x v="13"/>
    <s v="03"/>
    <s v="现金支付"/>
    <s v="“微信零钱”、&quot;支付宝花呗”及“京东白条”支付，系统付款类型应选择“现金”非“个人卡”，需驳回修改"/>
    <s v="已为您系统驳回，请重新提交完成业务审批流程后@通知审核员"/>
  </r>
  <r>
    <x v="13"/>
    <x v="13"/>
    <x v="41"/>
    <x v="0"/>
    <x v="0"/>
    <x v="13"/>
    <x v="13"/>
    <s v="04"/>
    <s v="缺携程订单or比价单or特批"/>
    <s v="根据SOP规定，住宿如是通过携程商旅上预订的，需提供携程订单；未在携程上预订，需要提供当时低_x000a_于携程订购价、会议邀请等支持性文件或财务总监审批邮件；"/>
    <s v="请提供"/>
  </r>
  <r>
    <x v="14"/>
    <x v="14"/>
    <x v="42"/>
    <x v="0"/>
    <x v="0"/>
    <x v="14"/>
    <x v="14"/>
    <s v="01"/>
    <s v="缺发票or行程"/>
    <s v="根据SOP规定，交通费-出差需提供当日当地的发票（长途汽车、出租车，公共汽车、地铁等），并提供行程"/>
    <s v="请提供"/>
  </r>
  <r>
    <x v="14"/>
    <x v="14"/>
    <x v="43"/>
    <x v="0"/>
    <x v="0"/>
    <x v="14"/>
    <x v="14"/>
    <s v="02"/>
    <s v="缺少行程单"/>
    <s v="根据SOP规定，交通费-出差报销网约车费用，需提供行程单"/>
    <s v="请补充上传至HLY评论区"/>
  </r>
  <r>
    <x v="14"/>
    <x v="14"/>
    <x v="44"/>
    <x v="0"/>
    <x v="0"/>
    <x v="14"/>
    <x v="14"/>
    <s v="03"/>
    <s v="单笔超500问题"/>
    <s v="根据SOP规定，单次费用超过人民币500元的长距离陆地交通需要使用指定供应商或有营运资质的网约车，并提供详细行程单"/>
    <s v="请补充提供，无法提供将不予报销"/>
  </r>
  <r>
    <x v="15"/>
    <x v="15"/>
    <x v="45"/>
    <x v="0"/>
    <x v="0"/>
    <x v="15"/>
    <x v="15"/>
    <s v="01"/>
    <s v="个人差旅包含HCP费用"/>
    <s v="个人汽车里程属于个人日常和差旅的费用，系统事由说明与费用定义不一致，不符合个人差旅费用要求"/>
    <s v="将为您单笔驳回此费用，请根据要求报销"/>
  </r>
  <r>
    <x v="15"/>
    <x v="15"/>
    <x v="46"/>
    <x v="0"/>
    <x v="0"/>
    <x v="15"/>
    <x v="15"/>
    <s v="02"/>
    <s v="驻地内个人汽车里程"/>
    <s v="个人汽车里程的行程显示为驻地内，驻地内因业务产生的燃油费应报销在“月度交通费”，如已报满限额，可选择“交通费-市内”，并提供部门负责人的审批"/>
    <s v="将为您单笔驳回此费用，请根据要求报销"/>
  </r>
  <r>
    <x v="16"/>
    <x v="16"/>
    <x v="47"/>
    <x v="0"/>
    <x v="0"/>
    <x v="16"/>
    <x v="16"/>
    <s v="01"/>
    <s v="差旅餐费发票日期问题"/>
    <s v="差旅餐费需要提供出差当地当日的发票，您提供的发票发票日期与系统填报的实际费用日期不一致"/>
    <s v="请确认实际费用发生日期，提供正确的发票或小票、付款记录等费用时间证明材料"/>
  </r>
  <r>
    <x v="16"/>
    <x v="16"/>
    <x v="48"/>
    <x v="0"/>
    <x v="0"/>
    <x v="16"/>
    <x v="16"/>
    <s v="02"/>
    <s v="差旅餐费超标"/>
    <s v="差旅餐费限额200元/天/人，您当日已报销一笔用餐费用，差旅餐费限额100元，需扣除差额费用"/>
    <s v="请确认后为您扣除差额费用"/>
  </r>
  <r>
    <x v="16"/>
    <x v="16"/>
    <x v="49"/>
    <x v="0"/>
    <x v="0"/>
    <x v="16"/>
    <x v="16"/>
    <s v="03"/>
    <s v="差旅餐费超标"/>
    <s v="差旅餐费限额200元/天/人，您当日已报销两笔用餐费用，差旅餐费限额0元，需扣除差额费用"/>
    <s v="请确认后为您扣除差额费用"/>
  </r>
  <r>
    <x v="17"/>
    <x v="17"/>
    <x v="50"/>
    <x v="0"/>
    <x v="0"/>
    <x v="17"/>
    <x v="17"/>
    <s v="01"/>
    <s v="费用类型错误"/>
    <s v="根据SOP规定，过路费、退票费等费用需报销在“其他差旅费用”中"/>
    <s v="已为您系统驳回，请重新提交完成业务审批流程后@通知审核员"/>
  </r>
  <r>
    <x v="18"/>
    <x v="18"/>
    <x v="51"/>
    <x v="0"/>
    <x v="0"/>
    <x v="18"/>
    <x v="18"/>
    <s v="01"/>
    <s v="缺水单明细（超300）"/>
    <s v="根据SOP规定，该费用≥300元，需提供水单明细"/>
    <s v="请提供"/>
  </r>
  <r>
    <x v="18"/>
    <x v="18"/>
    <x v="52"/>
    <x v="0"/>
    <x v="0"/>
    <x v="18"/>
    <x v="18"/>
    <s v="02"/>
    <s v="个人卡支付"/>
    <s v="根据SOP规定，个人银行卡支付超过300元，需提供付款记录及带有持卡人姓名的个人卡照片或银行对账单"/>
    <s v="请提供"/>
  </r>
  <r>
    <x v="18"/>
    <x v="18"/>
    <x v="53"/>
    <x v="0"/>
    <x v="0"/>
    <x v="18"/>
    <x v="18"/>
    <s v="03"/>
    <s v="现金支付"/>
    <s v="“微信零钱”、&quot;支付宝花呗”及“京东白条”支付，系统付款类型应选择“现金”非“个人卡”，需驳回修改"/>
    <s v="已为您系统驳回，请重新提交完成业务审批流程后@通知审核员"/>
  </r>
  <r>
    <x v="18"/>
    <x v="18"/>
    <x v="54"/>
    <x v="0"/>
    <x v="0"/>
    <x v="18"/>
    <x v="18"/>
    <s v="04"/>
    <s v="缺少明细（商超）"/>
    <s v="根据SOP规定，超市、商场或水果市场购买的费用，需要提供明细"/>
    <s v="请提供"/>
  </r>
  <r>
    <x v="19"/>
    <x v="19"/>
    <x v="55"/>
    <x v="0"/>
    <x v="0"/>
    <x v="19"/>
    <x v="19"/>
    <s v="01"/>
    <s v="缺水单明细（超300）"/>
    <s v="根据SOP规定，费用≥300元，需提供水单明细"/>
    <s v="请提供"/>
  </r>
  <r>
    <x v="19"/>
    <x v="19"/>
    <x v="56"/>
    <x v="0"/>
    <x v="0"/>
    <x v="19"/>
    <x v="19"/>
    <s v="02"/>
    <s v="缺少明细（商超）"/>
    <s v="根据SOP规定，超市、商场或水果市场购买的费用，需要提供明细"/>
    <s v="请提供"/>
  </r>
  <r>
    <x v="19"/>
    <x v="19"/>
    <x v="57"/>
    <x v="0"/>
    <x v="0"/>
    <x v="19"/>
    <x v="19"/>
    <s v="03"/>
    <s v="缺会议议程"/>
    <s v="根据SOP规定，报销内部活动/会议费用需提供会议议程（包括时间、地点、主题等）"/>
    <s v="请提供符合要求的会议议程"/>
  </r>
  <r>
    <x v="19"/>
    <x v="19"/>
    <x v="58"/>
    <x v="0"/>
    <x v="0"/>
    <x v="19"/>
    <x v="19"/>
    <s v="04"/>
    <s v="个人卡支付"/>
    <s v="根据SOP规定，个人银行卡支付超过300元，需提供付款记录及带有持卡人姓名的个人卡照片或银行对账单"/>
    <s v="请提供"/>
  </r>
  <r>
    <x v="19"/>
    <x v="19"/>
    <x v="59"/>
    <x v="0"/>
    <x v="0"/>
    <x v="19"/>
    <x v="19"/>
    <s v="05"/>
    <s v="现金支付"/>
    <s v="“微信零钱”、&quot;支付宝花呗”及“京东白条”支付，系统付款类型应选择“现金”非“个人卡”，需驳回修改"/>
    <s v="已为您系统驳回，请重新提交完成业务审批流程后@通知审核员"/>
  </r>
  <r>
    <x v="19"/>
    <x v="19"/>
    <x v="60"/>
    <x v="0"/>
    <x v="0"/>
    <x v="19"/>
    <x v="19"/>
    <s v="06"/>
    <s v="参会人问题"/>
    <s v="根据SOP规定，内部活动/会议参与人仅有公司内部员工，您系统填报的参与人不符合要求"/>
    <s v="请确认"/>
  </r>
  <r>
    <x v="20"/>
    <x v="20"/>
    <x v="61"/>
    <x v="0"/>
    <x v="0"/>
    <x v="20"/>
    <x v="20"/>
    <s v="01"/>
    <s v="缺水单明细（超300）"/>
    <s v="根据SOP规定，该费用≥300元，需提供水单明细"/>
    <s v="请将水单原件邮寄至我司，并将水单照片或扫描件补充上传至评论区"/>
  </r>
  <r>
    <x v="20"/>
    <x v="20"/>
    <x v="62"/>
    <x v="0"/>
    <x v="0"/>
    <x v="20"/>
    <x v="20"/>
    <s v="02"/>
    <s v="个人卡支付"/>
    <s v="根据SOP规定，个人银行卡支付超过300元，需提供付款记录及带有持卡人姓名的个人卡照片或银行对账单"/>
    <s v="请提供"/>
  </r>
  <r>
    <x v="20"/>
    <x v="20"/>
    <x v="63"/>
    <x v="0"/>
    <x v="0"/>
    <x v="20"/>
    <x v="20"/>
    <s v="03"/>
    <s v="现金支付"/>
    <s v="“微信零钱”、&quot;支付宝花呗”及“京东白条”支付，系统付款类型应选择“现金”非“个人卡”，需驳回修改"/>
    <s v="已为您系统驳回，请重新提交完成业务审批流程后@通知审核员"/>
  </r>
  <r>
    <x v="20"/>
    <x v="20"/>
    <x v="64"/>
    <x v="0"/>
    <x v="0"/>
    <x v="20"/>
    <x v="20"/>
    <s v="04"/>
    <s v="缺签收单"/>
    <s v="根据SOP规定，报销礼品/奖品需提供签收单（包含姓名、品名、单价、数量、总额、签收人签字）"/>
    <s v="请提供"/>
  </r>
  <r>
    <x v="20"/>
    <x v="20"/>
    <x v="65"/>
    <x v="0"/>
    <x v="0"/>
    <x v="20"/>
    <x v="20"/>
    <s v="05"/>
    <s v="礼品类别问题"/>
    <s v="根据SOP规定，礼品或奖品不得包括礼品卡、购物卡等，此笔费用不符合要求，不予报销"/>
    <s v="请确认后为您扣除此笔费用"/>
  </r>
  <r>
    <x v="20"/>
    <x v="20"/>
    <x v="66"/>
    <x v="0"/>
    <x v="0"/>
    <x v="20"/>
    <x v="20"/>
    <s v="06"/>
    <s v="礼品金额超标"/>
    <s v="根据SOP规定，报销礼品/奖品超过该类型下的标准限额，不予报销"/>
    <s v="请确认后为您扣除此笔费用"/>
  </r>
  <r>
    <x v="21"/>
    <x v="21"/>
    <x v="67"/>
    <x v="0"/>
    <x v="0"/>
    <x v="21"/>
    <x v="21"/>
    <s v="01"/>
    <s v="缺水单明细（超300）"/>
    <s v="根据SOP规定，该费用≥300元，需提供水单明细"/>
    <s v="请将水单原件邮寄至我司，并将水单照片或扫描件补充上传至评论区"/>
  </r>
  <r>
    <x v="21"/>
    <x v="21"/>
    <x v="68"/>
    <x v="0"/>
    <x v="0"/>
    <x v="21"/>
    <x v="21"/>
    <s v="02"/>
    <s v="缺少明细（商超）"/>
    <s v="根据SOP规定，超市、商场或水果市场购买的费用，需要提供明细"/>
    <s v="请提供"/>
  </r>
  <r>
    <x v="21"/>
    <x v="21"/>
    <x v="69"/>
    <x v="0"/>
    <x v="0"/>
    <x v="21"/>
    <x v="21"/>
    <s v="03"/>
    <s v="个人卡支付"/>
    <s v="根据SOP规定，个人银行卡支付超过300元，需提供付款记录及带有持卡人姓名的个人卡照片或银行对账单"/>
    <s v="请提供"/>
  </r>
  <r>
    <x v="21"/>
    <x v="21"/>
    <x v="70"/>
    <x v="0"/>
    <x v="0"/>
    <x v="21"/>
    <x v="21"/>
    <s v="04"/>
    <s v="现金支付"/>
    <s v="“微信零钱”、&quot;支付宝花呗”及“京东白条”支付，系统付款类型应选择“现金”非“个人卡”，需驳回修改"/>
    <s v="已为您系统驳回，请重新提交完成业务审批流程后@通知审核员"/>
  </r>
  <r>
    <x v="21"/>
    <x v="21"/>
    <x v="71"/>
    <x v="0"/>
    <x v="0"/>
    <x v="21"/>
    <x v="21"/>
    <s v="05"/>
    <s v="超人均300元（客户/供应商）"/>
    <s v="根据SOP规定，员工为招待第三方客户或供应商支付的餐费，不应超过人均 300 元。如有超过上述标准的特殊情_x000a_况，需获得部门负责人的审批。"/>
    <s v="请提供"/>
  </r>
  <r>
    <x v="21"/>
    <x v="21"/>
    <x v="72"/>
    <x v="0"/>
    <x v="0"/>
    <x v="21"/>
    <x v="21"/>
    <s v="06"/>
    <s v="超人均300元（HCP/政府官员）"/>
    <s v="根据SOP规定，员工为招待HCP或政府官员支付的餐费，不应超过人均 300 元。如有超过上述标准的特殊情_x000a_况，需获得部门负责人和合规部负责人的共同审批。"/>
    <s v="请提供"/>
  </r>
  <r>
    <x v="21"/>
    <x v="21"/>
    <x v="73"/>
    <x v="0"/>
    <x v="0"/>
    <x v="21"/>
    <x v="21"/>
    <s v="07"/>
    <s v="业务招待无内部员工"/>
    <s v="根据SOP规定，业务招待的参与人需有（内部）+（外部），您的业务招待不符合要求，不予报销"/>
    <s v="请确认后为您扣除该笔费用"/>
  </r>
  <r>
    <x v="22"/>
    <x v="22"/>
    <x v="74"/>
    <x v="0"/>
    <x v="0"/>
    <x v="22"/>
    <x v="22"/>
    <s v="01"/>
    <s v="缺水单明细（超300）"/>
    <s v="根据SOP规定，该费用≥300元，需提供水单明细"/>
    <s v="请将水单原件邮寄至我司，并将水单照片或扫描件补充上传至评论区"/>
  </r>
  <r>
    <x v="22"/>
    <x v="22"/>
    <x v="75"/>
    <x v="0"/>
    <x v="0"/>
    <x v="22"/>
    <x v="22"/>
    <s v="02"/>
    <s v="缺少明细（商超）"/>
    <s v="根据SOP规定，超市、商场或水果市场购买的费用，需要提供明细"/>
    <s v="请提供"/>
  </r>
  <r>
    <x v="22"/>
    <x v="22"/>
    <x v="76"/>
    <x v="0"/>
    <x v="0"/>
    <x v="22"/>
    <x v="22"/>
    <s v="03"/>
    <s v="个人卡支付"/>
    <s v="根据SOP规定，个人银行卡支付超过300元，需提供付款记录及带有持卡人姓名的个人卡照片或银行对账单"/>
    <s v="请提供"/>
  </r>
  <r>
    <x v="22"/>
    <x v="22"/>
    <x v="77"/>
    <x v="0"/>
    <x v="0"/>
    <x v="22"/>
    <x v="22"/>
    <s v="04"/>
    <s v="现金支付"/>
    <s v="“微信零钱”、&quot;支付宝花呗”及“京东白条”支付，系统付款类型应选择“现金”非“个人卡”，需驳回修改"/>
    <s v="已为您系统驳回，请重新提交完成业务审批流程后@通知审核员"/>
  </r>
  <r>
    <x v="22"/>
    <x v="22"/>
    <x v="78"/>
    <x v="0"/>
    <x v="0"/>
    <x v="22"/>
    <x v="22"/>
    <s v="05"/>
    <s v="超人均300元（客户/供应商）"/>
    <s v="根据SOP规定，员工为招待第三方客户或供应商支付的餐费，不应超过人均 300 元。如有超过上述标准的特殊情_x000a_况，需获得部门负责人的审批。"/>
    <s v="请提供"/>
  </r>
  <r>
    <x v="22"/>
    <x v="22"/>
    <x v="79"/>
    <x v="0"/>
    <x v="0"/>
    <x v="22"/>
    <x v="22"/>
    <s v="06"/>
    <s v="超人均300元（HCP/政府官员）"/>
    <s v="根据SOP规定，员工为招待HCP或政府官员支付的餐费，不应超过人均 300 元。如有超过上述标准的特殊情_x000a_况，需获得部门负责人和合规部负责人的共同审批。"/>
    <s v="请提供"/>
  </r>
  <r>
    <x v="22"/>
    <x v="22"/>
    <x v="80"/>
    <x v="0"/>
    <x v="0"/>
    <x v="22"/>
    <x v="22"/>
    <s v="07"/>
    <s v="业务招待无内部员工"/>
    <s v="根据SOP规定，业务招待的参与人需有（内部）+（外部），您的业务招待不符合要求，不予报销"/>
    <s v="请确认后为您扣除该笔费用"/>
  </r>
  <r>
    <x v="23"/>
    <x v="23"/>
    <x v="81"/>
    <x v="0"/>
    <x v="0"/>
    <x v="23"/>
    <x v="23"/>
    <s v="01"/>
    <s v="缺水单明细（超300）"/>
    <s v="根据SOP规定，该费用≥300元，需提供水单明细"/>
    <s v="请将水单原件邮寄至我司，并将水单照片或扫描件补充上传至评论区"/>
  </r>
  <r>
    <x v="23"/>
    <x v="23"/>
    <x v="82"/>
    <x v="0"/>
    <x v="0"/>
    <x v="23"/>
    <x v="23"/>
    <s v="02"/>
    <s v="缺少明细（商超）"/>
    <s v="根据SOP规定，超市、商场或水果市场购买的费用，需要提供明细"/>
    <s v="请提供"/>
  </r>
  <r>
    <x v="23"/>
    <x v="23"/>
    <x v="83"/>
    <x v="0"/>
    <x v="0"/>
    <x v="23"/>
    <x v="23"/>
    <s v="03"/>
    <s v="个人卡支付"/>
    <s v="根据SOP规定，个人银行卡支付超过300元，需提供付款记录及带有持卡人姓名的个人卡照片或银行对账单"/>
    <s v="请提供"/>
  </r>
  <r>
    <x v="23"/>
    <x v="23"/>
    <x v="84"/>
    <x v="0"/>
    <x v="0"/>
    <x v="23"/>
    <x v="23"/>
    <s v="04"/>
    <s v="现金支付"/>
    <s v="“微信零钱”、&quot;支付宝花呗”及“京东白条”支付，系统付款类型应选择“现金”非“个人卡”，需驳回修改"/>
    <s v="已为您系统驳回，请重新提交完成业务审批流程后@通知审核员"/>
  </r>
  <r>
    <x v="23"/>
    <x v="23"/>
    <x v="85"/>
    <x v="0"/>
    <x v="0"/>
    <x v="23"/>
    <x v="23"/>
    <s v="05"/>
    <s v="超人均300元（客户/供应商）"/>
    <s v="根据SOP规定，员工为招待第三方客户或供应商支付的餐费，不应超过人均 300 元。如有超过上述标准的特殊情_x000a_况，需获得部门负责人的审批。"/>
    <s v="请提供"/>
  </r>
  <r>
    <x v="23"/>
    <x v="23"/>
    <x v="86"/>
    <x v="0"/>
    <x v="0"/>
    <x v="23"/>
    <x v="23"/>
    <s v="06"/>
    <s v="超人均300元（HCP/政府官员）"/>
    <s v="根据SOP规定，员工为招待HCP或政府官员支付的餐费，不应超过人均 300 元。如有超过上述标准的特殊情_x000a_况，需获得部门负责人和合规部负责人的共同审批。"/>
    <s v="请提供"/>
  </r>
  <r>
    <x v="23"/>
    <x v="23"/>
    <x v="87"/>
    <x v="0"/>
    <x v="0"/>
    <x v="23"/>
    <x v="23"/>
    <s v="07"/>
    <s v="业务招待无内部员工"/>
    <s v="根据SOP规定，业务招待的参与人需有（内部）+（外部），您的业务招待不符合要求，不予报销"/>
    <s v="请确认后为您扣除该笔费用"/>
  </r>
  <r>
    <x v="24"/>
    <x v="24"/>
    <x v="88"/>
    <x v="0"/>
    <x v="0"/>
    <x v="24"/>
    <x v="24"/>
    <s v="01"/>
    <s v="缺水单明细（超300）"/>
    <s v="根据SOP规定，该费用≥300元，需提供水单明细"/>
    <s v="请将水单原件邮寄至我司，并将水单照片或扫描件补充上传至评论区"/>
  </r>
  <r>
    <x v="24"/>
    <x v="24"/>
    <x v="89"/>
    <x v="0"/>
    <x v="0"/>
    <x v="24"/>
    <x v="24"/>
    <s v="02"/>
    <s v="缺少明细（商超）"/>
    <s v="根据SOP规定，超市、商场或水果市场购买的费用，需要提供明细"/>
    <s v="请提供"/>
  </r>
  <r>
    <x v="24"/>
    <x v="24"/>
    <x v="90"/>
    <x v="0"/>
    <x v="0"/>
    <x v="24"/>
    <x v="24"/>
    <s v="03"/>
    <s v="个人卡支付"/>
    <s v="根据SOP规定，个人银行卡支付超过300元，需提供付款记录及带有持卡人姓名的个人卡照片或银行对账单"/>
    <s v="请提供"/>
  </r>
  <r>
    <x v="24"/>
    <x v="24"/>
    <x v="91"/>
    <x v="0"/>
    <x v="0"/>
    <x v="24"/>
    <x v="24"/>
    <s v="04"/>
    <s v="现金支付"/>
    <s v="“微信零钱”、&quot;支付宝花呗”及“京东白条”支付，系统付款类型应选择“现金”非“个人卡”，需驳回修改"/>
    <s v="已为您系统驳回，请重新提交完成业务审批流程后@通知审核员"/>
  </r>
  <r>
    <x v="24"/>
    <x v="24"/>
    <x v="92"/>
    <x v="0"/>
    <x v="0"/>
    <x v="24"/>
    <x v="24"/>
    <s v="05"/>
    <s v="超人均300元（客户/供应商）"/>
    <s v="根据SOP规定，员工为招待第三方客户或供应商支付的餐费，不应超过人均 300 元。如有超过上述标准的特殊情_x000a_况，需获得部门负责人的审批。"/>
    <s v="请提供"/>
  </r>
  <r>
    <x v="24"/>
    <x v="24"/>
    <x v="93"/>
    <x v="0"/>
    <x v="0"/>
    <x v="24"/>
    <x v="24"/>
    <s v="06"/>
    <s v="超人均300元（HCP/政府官员）"/>
    <s v="根据SOP规定，员工为招待HCP或政府官员支付的餐费，不应超过人均 300 元。如有超过上述标准的特殊情_x000a_况，需获得部门负责人和合规部负责人的共同审批。"/>
    <s v="请提供"/>
  </r>
  <r>
    <x v="24"/>
    <x v="24"/>
    <x v="94"/>
    <x v="0"/>
    <x v="0"/>
    <x v="24"/>
    <x v="24"/>
    <s v="07"/>
    <s v="业务招待无内部员工"/>
    <s v="根据SOP规定，业务招待的参与人需有（内部）+（外部），您的业务招待不符合要求，不予报销"/>
    <s v="请确认后为您扣除该笔费用"/>
  </r>
  <r>
    <x v="25"/>
    <x v="25"/>
    <x v="95"/>
    <x v="0"/>
    <x v="0"/>
    <x v="25"/>
    <x v="25"/>
    <s v="01"/>
    <s v="缺水单明细（超300）"/>
    <s v="根据SOP规定，该费用≥300元，需提供水单明细"/>
    <s v="请将水单原件邮寄至我司，并将水单照片或扫描件补充上传至评论区"/>
  </r>
  <r>
    <x v="25"/>
    <x v="25"/>
    <x v="96"/>
    <x v="0"/>
    <x v="0"/>
    <x v="25"/>
    <x v="25"/>
    <s v="02"/>
    <s v="缺少明细（商超）"/>
    <s v="根据SOP规定，超市、商场或水果市场购买的费用，需要提供明细"/>
    <s v="请提供"/>
  </r>
  <r>
    <x v="25"/>
    <x v="25"/>
    <x v="97"/>
    <x v="0"/>
    <x v="0"/>
    <x v="25"/>
    <x v="25"/>
    <s v="03"/>
    <s v="个人卡支付"/>
    <s v="根据SOP规定，个人银行卡支付超过300元，需提供付款记录及带有持卡人姓名的个人卡照片或银行对账单"/>
    <s v="请提供"/>
  </r>
  <r>
    <x v="25"/>
    <x v="25"/>
    <x v="98"/>
    <x v="0"/>
    <x v="0"/>
    <x v="25"/>
    <x v="25"/>
    <s v="04"/>
    <s v="现金支付"/>
    <s v="“微信零钱”、&quot;支付宝花呗”及“京东白条”支付，系统付款类型应选择“现金”非“个人卡”，需驳回修改"/>
    <s v="已为您系统驳回，请重新提交完成业务审批流程后@通知审核员"/>
  </r>
  <r>
    <x v="25"/>
    <x v="25"/>
    <x v="99"/>
    <x v="0"/>
    <x v="0"/>
    <x v="25"/>
    <x v="25"/>
    <s v="05"/>
    <s v="超人均300元（客户/供应商）"/>
    <s v="根据SOP规定，员工为招待第三方客户或供应商支付的餐费，不应超过人均 300 元。如有超过上述标准的特殊情_x000a_况，需获得部门负责人的审批。"/>
    <s v="请提供"/>
  </r>
  <r>
    <x v="25"/>
    <x v="25"/>
    <x v="100"/>
    <x v="0"/>
    <x v="0"/>
    <x v="25"/>
    <x v="25"/>
    <s v="06"/>
    <s v="超人均300元（HCP/政府官员）"/>
    <s v="根据SOP规定，员工为招待HCP或政府官员支付的餐费，不应超过人均 300 元。如有超过上述标准的特殊情_x000a_况，需获得部门负责人和合规部负责人的共同审批。"/>
    <s v="请提供"/>
  </r>
  <r>
    <x v="25"/>
    <x v="25"/>
    <x v="101"/>
    <x v="0"/>
    <x v="0"/>
    <x v="25"/>
    <x v="25"/>
    <s v="07"/>
    <s v="业务招待无内部员工"/>
    <s v="根据SOP规定，业务招待的参与人需有（内部）+（外部），您的业务招待不符合要求，不予报销"/>
    <s v="请确认后为您扣除该笔费用"/>
  </r>
  <r>
    <x v="26"/>
    <x v="26"/>
    <x v="102"/>
    <x v="0"/>
    <x v="0"/>
    <x v="26"/>
    <x v="26"/>
    <s v="01"/>
    <s v="缺水单明细（超300）"/>
    <s v="根据SOP规定，该费用≥300元，需提供水单明细"/>
    <s v="请将水单原件邮寄至我司，并将水单照片或扫描件补充上传至评论区"/>
  </r>
  <r>
    <x v="26"/>
    <x v="26"/>
    <x v="103"/>
    <x v="0"/>
    <x v="0"/>
    <x v="26"/>
    <x v="26"/>
    <s v="02"/>
    <s v="个人卡支付"/>
    <s v="根据SOP规定，个人银行卡支付超过300元，需提供付款记录及带有持卡人姓名的个人卡照片或银行对账单"/>
    <s v="请提供"/>
  </r>
  <r>
    <x v="26"/>
    <x v="26"/>
    <x v="104"/>
    <x v="0"/>
    <x v="0"/>
    <x v="26"/>
    <x v="26"/>
    <s v="03"/>
    <s v="现金支付"/>
    <s v="“微信零钱”、&quot;支付宝花呗”及“京东白条”支付，系统付款类型应选择“现金”非“个人卡”，需驳回修改"/>
    <s v="已为您系统驳回，请重新提交完成业务审批流程后@通知审核员"/>
  </r>
  <r>
    <x v="26"/>
    <x v="26"/>
    <x v="105"/>
    <x v="0"/>
    <x v="0"/>
    <x v="26"/>
    <x v="26"/>
    <s v="04"/>
    <s v="缺签收单"/>
    <s v="根据SOP规定，报销礼品/奖品需提供签收单（包含姓名、品名、单价、数量、总额、签收人签字）"/>
    <s v="请提供"/>
  </r>
  <r>
    <x v="26"/>
    <x v="26"/>
    <x v="106"/>
    <x v="0"/>
    <x v="0"/>
    <x v="26"/>
    <x v="26"/>
    <s v="05"/>
    <s v="礼品类别问题"/>
    <s v="根据SOP规定，礼品或奖品不得包括礼品卡、购物卡等，此笔费用不符合要求，不予报销"/>
    <s v="请提供"/>
  </r>
  <r>
    <x v="26"/>
    <x v="26"/>
    <x v="107"/>
    <x v="0"/>
    <x v="0"/>
    <x v="26"/>
    <x v="26"/>
    <s v="06"/>
    <s v="缺审批"/>
    <s v="根据SOP规定，礼品或奖品需提供部门负责人批准邮件"/>
    <s v="请提供"/>
  </r>
  <r>
    <x v="27"/>
    <x v="27"/>
    <x v="108"/>
    <x v="0"/>
    <x v="0"/>
    <x v="27"/>
    <x v="27"/>
    <s v="01"/>
    <s v="手机款超标"/>
    <s v="根据SOP规定，手机购机款报销上限金额为5000元"/>
    <s v="请确认后为您扣除差额费用"/>
  </r>
  <r>
    <x v="27"/>
    <x v="27"/>
    <x v="109"/>
    <x v="0"/>
    <x v="0"/>
    <x v="27"/>
    <x v="27"/>
    <s v="02"/>
    <s v="个人卡支付"/>
    <s v="根据SOP规定，个人银行卡支付超过300元，需提供付款记录及带有持卡人姓名的个人卡照片或银行对账单"/>
    <s v="请提供"/>
  </r>
  <r>
    <x v="27"/>
    <x v="27"/>
    <x v="110"/>
    <x v="0"/>
    <x v="0"/>
    <x v="27"/>
    <x v="27"/>
    <s v="03"/>
    <s v="现金支付"/>
    <s v="“微信零钱”、&quot;支付宝花呗”及“京东白条”支付，系统付款类型应选择“现金”非“个人卡”，需驳回修改"/>
    <s v="已为您系统驳回，请重新提交完成业务审批流程后@通知审核员"/>
  </r>
  <r>
    <x v="27"/>
    <x v="27"/>
    <x v="111"/>
    <x v="0"/>
    <x v="0"/>
    <x v="27"/>
    <x v="27"/>
    <s v="04"/>
    <s v="缺申购单"/>
    <s v="根据SOP规定，报销购机款系统提供申购单"/>
    <s v="请提供"/>
  </r>
  <r>
    <x v="27"/>
    <x v="27"/>
    <x v="112"/>
    <x v="0"/>
    <x v="0"/>
    <x v="27"/>
    <x v="27"/>
    <s v="05"/>
    <s v="购买时间早于申购单"/>
    <s v="根据SOP规定，购买手机的时间不得早于申购单的审批时间，此笔费用不符合要求，不予报销"/>
    <s v="请确认后为您扣除该笔费用"/>
  </r>
  <r>
    <x v="28"/>
    <x v="28"/>
    <x v="113"/>
    <x v="0"/>
    <x v="0"/>
    <x v="28"/>
    <x v="28"/>
    <s v="01"/>
    <s v="缺水单明细（超300）"/>
    <s v="根据SOP规定，该费用≥300元，需提供水单明细"/>
    <s v="请提供"/>
  </r>
  <r>
    <x v="28"/>
    <x v="28"/>
    <x v="114"/>
    <x v="0"/>
    <x v="0"/>
    <x v="28"/>
    <x v="28"/>
    <s v="02"/>
    <s v="个人卡支付"/>
    <s v="根据SOP规定，个人银行卡支付超过300元，需提供付款记录及带有持卡人姓名的个人卡照片或银行对账单"/>
    <s v="请提供"/>
  </r>
  <r>
    <x v="28"/>
    <x v="28"/>
    <x v="115"/>
    <x v="0"/>
    <x v="0"/>
    <x v="28"/>
    <x v="28"/>
    <s v="03"/>
    <s v="现金支付"/>
    <s v="“微信零钱”、&quot;支付宝花呗”及“京东白条”支付，系统付款类型应选择“现金”非“个人卡”，需驳回修改"/>
    <s v="已为您系统驳回，请重新提交完成业务审批流程后@通知审核员"/>
  </r>
  <r>
    <x v="28"/>
    <x v="28"/>
    <x v="116"/>
    <x v="0"/>
    <x v="0"/>
    <x v="28"/>
    <x v="28"/>
    <s v="04"/>
    <s v="缺会议议程"/>
    <s v="根据SOP规定，报销小沟会需提供会议议程（包括时间、地点、主题等）"/>
    <s v="请提供"/>
  </r>
  <r>
    <x v="28"/>
    <x v="28"/>
    <x v="117"/>
    <x v="0"/>
    <x v="0"/>
    <x v="28"/>
    <x v="28"/>
    <s v="05"/>
    <s v="超人均150元"/>
    <s v="根据SOP规定，小沟会会议餐费人均不可超过150元，如需全额报销，需提供部门负责人和合规部负责人的共同审批"/>
    <s v="请提供特批邮件或我们帮您扣除超额部分"/>
  </r>
  <r>
    <x v="28"/>
    <x v="28"/>
    <x v="118"/>
    <x v="0"/>
    <x v="0"/>
    <x v="28"/>
    <x v="28"/>
    <s v="06"/>
    <s v="外部参会人超标"/>
    <s v="根据SOP规定，小沟会外部参会者不得超过3人"/>
    <s v="请确认"/>
  </r>
  <r>
    <x v="28"/>
    <x v="28"/>
    <x v="119"/>
    <x v="0"/>
    <x v="0"/>
    <x v="28"/>
    <x v="28"/>
    <s v="07"/>
    <s v="缺餐厅门头照"/>
    <s v="根据SOP规定，报销会议餐费需提供餐厅门头照"/>
    <s v="请提供"/>
  </r>
  <r>
    <x v="28"/>
    <x v="28"/>
    <x v="120"/>
    <x v="0"/>
    <x v="0"/>
    <x v="28"/>
    <x v="28"/>
    <s v="08"/>
    <s v="会议餐费形式"/>
    <s v="根据SOP规定，小沟会会议餐费应为午餐会或晚餐会形式，您报销的餐费内部不符合要求"/>
    <s v="请解释说明"/>
  </r>
  <r>
    <x v="29"/>
    <x v="29"/>
    <x v="121"/>
    <x v="0"/>
    <x v="0"/>
    <x v="29"/>
    <x v="29"/>
    <s v="01"/>
    <s v="个人卡支付"/>
    <s v="根据SOP规定，个人银行卡支付超过300元，需提供付款记录及带有持卡人姓名的个人卡照片或银行对账单"/>
    <s v="请提供"/>
  </r>
  <r>
    <x v="29"/>
    <x v="29"/>
    <x v="122"/>
    <x v="0"/>
    <x v="0"/>
    <x v="29"/>
    <x v="29"/>
    <s v="02"/>
    <s v="现金支付"/>
    <s v="“微信零钱”、&quot;支付宝花呗”及“京东白条”支付，系统付款类型应选择“现金”非“个人卡”，需驳回修改"/>
    <s v="已为您系统驳回，请重新提交完成业务审批流程后@通知审核员"/>
  </r>
  <r>
    <x v="30"/>
    <x v="30"/>
    <x v="123"/>
    <x v="0"/>
    <x v="0"/>
    <x v="30"/>
    <x v="30"/>
    <s v="01"/>
    <s v="所属年月"/>
    <s v="报销单所属年月填写错误"/>
    <s v="需系统驳回修改"/>
  </r>
  <r>
    <x v="30"/>
    <x v="30"/>
    <x v="124"/>
    <x v="0"/>
    <x v="0"/>
    <x v="30"/>
    <x v="30"/>
    <s v="02"/>
    <s v="纸质材料"/>
    <s v="已完成线上初审"/>
    <s v="请打印封面后将报销单邮寄至我司"/>
  </r>
  <r>
    <x v="30"/>
    <x v="30"/>
    <x v="125"/>
    <x v="0"/>
    <x v="0"/>
    <x v="30"/>
    <x v="30"/>
    <s v="03"/>
    <s v="费用逾期"/>
    <s v="根据SOP规定，报销单需在90天内完成审核，您的报销单已超过90天"/>
    <s v="如需报销本次将记录逾期，请回复确认"/>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
  <r>
    <x v="0"/>
    <x v="0"/>
    <s v="MN010101"/>
    <x v="0"/>
    <x v="0"/>
    <x v="0"/>
    <x v="0"/>
    <x v="0"/>
    <x v="0"/>
    <s v="根据SOP规定，报销讲课费的讲者必须是讲者库中的讲者，且不能在会议结束后特批补入库"/>
    <s v="不符合要求不予支付讲课费"/>
  </r>
  <r>
    <x v="0"/>
    <x v="0"/>
    <s v="MN010102"/>
    <x v="0"/>
    <x v="0"/>
    <x v="0"/>
    <x v="0"/>
    <x v="1"/>
    <x v="1"/>
    <s v="根据SOP规定，业务约定书需完整正确的填写，并由HCP签字后将完整原件邮寄至我司"/>
    <s v="请提供"/>
  </r>
  <r>
    <x v="0"/>
    <x v="0"/>
    <s v="MN010103"/>
    <x v="0"/>
    <x v="0"/>
    <x v="0"/>
    <x v="0"/>
    <x v="2"/>
    <x v="2"/>
    <s v="根据SOP规定，支付讲课费的人数不应超过外部参会总人数的20%"/>
    <s v="请确认，并告知需扣除讲课费的HCP姓名"/>
  </r>
  <r>
    <x v="0"/>
    <x v="0"/>
    <s v="MN010104"/>
    <x v="0"/>
    <x v="0"/>
    <x v="0"/>
    <x v="0"/>
    <x v="3"/>
    <x v="3"/>
    <s v="根据SOP规定，支付讲课费的主席和点评专家的总数不得超过讲者总数"/>
    <s v="请确认，并告知需扣除讲课费的HCP姓名"/>
  </r>
  <r>
    <x v="0"/>
    <x v="0"/>
    <s v="MN010105"/>
    <x v="0"/>
    <x v="0"/>
    <x v="0"/>
    <x v="0"/>
    <x v="4"/>
    <x v="4"/>
    <s v="根据SOP规定，支付讲课费的专家需全程参会，并签到"/>
    <s v="请补充提供签到，不符合要求不予支付讲课费"/>
  </r>
  <r>
    <x v="0"/>
    <x v="0"/>
    <s v="MN010106"/>
    <x v="0"/>
    <x v="0"/>
    <x v="0"/>
    <x v="0"/>
    <x v="5"/>
    <x v="5"/>
    <s v="根据SOP规定，学术论坛讲者讲课时间（包括手术演示、讨论问答）需≥20分钟"/>
    <s v="不符合要求不予支付讲课费"/>
  </r>
  <r>
    <x v="0"/>
    <x v="0"/>
    <s v="MN010107"/>
    <x v="0"/>
    <x v="0"/>
    <x v="0"/>
    <x v="0"/>
    <x v="6"/>
    <x v="6"/>
    <s v="根据SOP规定，学术论坛点评专家限全国级和区域级HCP，且点评时长累计需≥10分钟，"/>
    <s v="不符合要求不予支付讲课费"/>
  </r>
  <r>
    <x v="0"/>
    <x v="0"/>
    <s v="MN010108"/>
    <x v="0"/>
    <x v="0"/>
    <x v="0"/>
    <x v="0"/>
    <x v="7"/>
    <x v="7"/>
    <s v="根据SOP规定，学术论坛点评专家的讲课费支付标准为80%*职级标准"/>
    <s v="将为您扣除差额"/>
  </r>
  <r>
    <x v="0"/>
    <x v="0"/>
    <s v="MN010109"/>
    <x v="0"/>
    <x v="0"/>
    <x v="0"/>
    <x v="0"/>
    <x v="8"/>
    <x v="8"/>
    <s v="根据SOP规定，学术论坛主席限全国级和区域级HCP中主任医师、副主任医师,且原则上应全程参加活动并致辞发言，"/>
    <s v="不符合要求不予支付讲课费"/>
  </r>
  <r>
    <x v="1"/>
    <x v="1"/>
    <s v="MN010001"/>
    <x v="0"/>
    <x v="0"/>
    <x v="1"/>
    <x v="1"/>
    <x v="0"/>
    <x v="9"/>
    <s v="根据SOP规定，学术论坛可举办的组织者岗位为地区业务销售经理及以上、市场、医学、临床运营、市场准入和商务，您无权限举办此类型会议"/>
    <s v="请提供逐级审批至部门负责人的授权邮件并抄送合规"/>
  </r>
  <r>
    <x v="1"/>
    <x v="1"/>
    <s v="MN010002"/>
    <x v="0"/>
    <x v="0"/>
    <x v="1"/>
    <x v="1"/>
    <x v="1"/>
    <x v="10"/>
    <s v="学会活动变更会议时间、会议地点需提供企业微信变更流程或变更审批邮件"/>
    <s v="请提供"/>
  </r>
  <r>
    <x v="1"/>
    <x v="1"/>
    <s v="MN010003"/>
    <x v="0"/>
    <x v="0"/>
    <x v="1"/>
    <x v="1"/>
    <x v="2"/>
    <x v="11"/>
    <s v="会议议程内容与系统填报的实际会议情况不一致"/>
    <s v="请确认并提供更新的会议议程"/>
  </r>
  <r>
    <x v="1"/>
    <x v="1"/>
    <s v="MN010004"/>
    <x v="0"/>
    <x v="0"/>
    <x v="1"/>
    <x v="1"/>
    <x v="3"/>
    <x v="12"/>
    <s v="会议议程需包含会议日期、会议开展时间、会议地点、会议内容、演讲主题和演讲人"/>
    <s v="请补充提供"/>
  </r>
  <r>
    <x v="1"/>
    <x v="1"/>
    <s v="MN010005"/>
    <x v="0"/>
    <x v="0"/>
    <x v="1"/>
    <x v="1"/>
    <x v="4"/>
    <x v="13"/>
    <s v="根据SOP规定，学术论坛会议时长需≥ 半天（2-4H）"/>
    <s v="请确认"/>
  </r>
  <r>
    <x v="1"/>
    <x v="1"/>
    <s v="MN010006"/>
    <x v="0"/>
    <x v="0"/>
    <x v="1"/>
    <x v="1"/>
    <x v="5"/>
    <x v="14"/>
    <s v="根据SOP规定，原则上若全部参会人来自同一城市，学术活动地点不应跨行政区域，特殊情况需得到上级直属领导事前审批"/>
    <s v="请提供"/>
  </r>
  <r>
    <x v="1"/>
    <x v="1"/>
    <s v="MN010007"/>
    <x v="0"/>
    <x v="0"/>
    <x v="1"/>
    <x v="1"/>
    <x v="6"/>
    <x v="15"/>
    <s v="根据SOP规定，禁止在景区名胜或铺张奢侈的地点举办或参加会议"/>
    <s v="不符合要求不予报销"/>
  </r>
  <r>
    <x v="1"/>
    <x v="1"/>
    <s v="MN010008"/>
    <x v="0"/>
    <x v="0"/>
    <x v="1"/>
    <x v="1"/>
    <x v="7"/>
    <x v="16"/>
    <s v="根据SOP规定，禁止在水疗会所、温泉、度假、滑雪、高尔夫、赌博、邮轮、洗浴中心、KTV娱乐及以以上为主业的场所举办学术活动或进行业务招待活动"/>
    <s v="不符合要求不予报销"/>
  </r>
  <r>
    <x v="1"/>
    <x v="1"/>
    <s v="MN010009"/>
    <x v="0"/>
    <x v="0"/>
    <x v="1"/>
    <x v="1"/>
    <x v="8"/>
    <x v="17"/>
    <s v="系统实际内外部参会人数与签到表不一致"/>
    <s v="请确认实际内外部参会人数，并解释说明"/>
  </r>
  <r>
    <x v="1"/>
    <x v="1"/>
    <s v="MN010010"/>
    <x v="0"/>
    <x v="0"/>
    <x v="1"/>
    <x v="1"/>
    <x v="9"/>
    <x v="18"/>
    <s v="根据SOP规定，整场会议未使用电子签到单需提供逐级审批至部门负责人的审批邮件"/>
    <s v="请提供"/>
  </r>
  <r>
    <x v="1"/>
    <x v="1"/>
    <s v="MN010011"/>
    <x v="0"/>
    <x v="0"/>
    <x v="1"/>
    <x v="1"/>
    <x v="10"/>
    <x v="19"/>
    <s v="根据SOP规定，线下签到单原件需邮寄至我司"/>
    <s v="请将原件邮寄至我司，邮寄后提供快递单号"/>
  </r>
  <r>
    <x v="1"/>
    <x v="1"/>
    <s v="MN010012"/>
    <x v="0"/>
    <x v="0"/>
    <x v="1"/>
    <x v="1"/>
    <x v="11"/>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1"/>
    <x v="1"/>
    <s v="MN010013"/>
    <x v="0"/>
    <x v="0"/>
    <x v="1"/>
    <x v="1"/>
    <x v="12"/>
    <x v="21"/>
    <s v="根据SOP规定，会议照片需使用水印相机拍摄活动现场照片，并注明活动时间、活动地点、活动主题"/>
    <s v="请补充提供，如不符合要求将不予报销"/>
  </r>
  <r>
    <x v="1"/>
    <x v="1"/>
    <s v="MN010014"/>
    <x v="0"/>
    <x v="0"/>
    <x v="1"/>
    <x v="1"/>
    <x v="13"/>
    <x v="22"/>
    <s v="根据SOP规定，会议照片需体现并反映会议主题（如PPT标题、横幅、易拉宝等），且照片中的会议主题需清洗"/>
    <s v="请补充提供，如不符合要求将不予报销"/>
  </r>
  <r>
    <x v="1"/>
    <x v="1"/>
    <s v="MN010015"/>
    <x v="0"/>
    <x v="0"/>
    <x v="1"/>
    <x v="1"/>
    <x v="14"/>
    <x v="23"/>
    <s v="根据SOP规定，付费讲者需提供正面清晰演讲照片，照片应体现付费讲者和一张会议幻灯稿同框的场景，要求可识别付费讲者并能体现所参加会议"/>
    <s v="请补充提供，如不符合要求将不予报销"/>
  </r>
  <r>
    <x v="1"/>
    <x v="1"/>
    <s v="MN010016"/>
    <x v="0"/>
    <x v="0"/>
    <x v="1"/>
    <x v="1"/>
    <x v="15"/>
    <x v="24"/>
    <s v="根据SOP规定，会议照片水印所反映拍摄时间与会议议程相一致"/>
    <s v="请补充提供，如不符合要求将不予报销"/>
  </r>
  <r>
    <x v="1"/>
    <x v="1"/>
    <s v="MN010017"/>
    <x v="0"/>
    <x v="0"/>
    <x v="1"/>
    <x v="1"/>
    <x v="16"/>
    <x v="25"/>
    <s v="根据SOP规定，学术论坛会议照片需显示50%及以上参会人员（内+外）"/>
    <s v="请补充提供，如不符合要求将不予报销"/>
  </r>
  <r>
    <x v="1"/>
    <x v="1"/>
    <s v="MN010018"/>
    <x v="0"/>
    <x v="0"/>
    <x v="1"/>
    <x v="1"/>
    <x v="17"/>
    <x v="26"/>
    <s v="根据SOP规定，学术论坛内部参会者不可少于2人（包含会议组织者）"/>
    <s v="请确认实际内部参会人数"/>
  </r>
  <r>
    <x v="1"/>
    <x v="1"/>
    <s v="MN010019"/>
    <x v="0"/>
    <x v="0"/>
    <x v="1"/>
    <x v="1"/>
    <x v="18"/>
    <x v="27"/>
    <s v="根据SOP规定，学术论坛外部外部参会者可以跨城市、跨医院、跨科室的HCP共同参与，外部参会人数不少于5人"/>
    <s v="请确认实际外部参会人数"/>
  </r>
  <r>
    <x v="1"/>
    <x v="1"/>
    <s v="MN010020"/>
    <x v="0"/>
    <x v="0"/>
    <x v="1"/>
    <x v="1"/>
    <x v="19"/>
    <x v="28"/>
    <s v="根据SOP规定，原则上公司仅承担学术活动会议议程前后24小时内所产生的相关费用，例外事项需提供部门负责人及合规审计总监的共同批准"/>
    <s v="如需报销请提供特批"/>
  </r>
  <r>
    <x v="1"/>
    <x v="1"/>
    <s v="MN010021"/>
    <x v="0"/>
    <x v="0"/>
    <x v="1"/>
    <x v="1"/>
    <x v="20"/>
    <x v="29"/>
    <s v="根据SOP规定，学术论坛可报销费用有讲课费、餐饮、住宿费、场租和交通费"/>
    <s v="额外费用不予报销已为您扣除"/>
  </r>
  <r>
    <x v="2"/>
    <x v="2"/>
    <s v="MN010201"/>
    <x v="0"/>
    <x v="0"/>
    <x v="2"/>
    <x v="2"/>
    <x v="0"/>
    <x v="30"/>
    <s v="根据SOP规定，会议餐费需提供餐厅门头照"/>
    <s v="请提供"/>
  </r>
  <r>
    <x v="2"/>
    <x v="2"/>
    <s v="MN010202"/>
    <x v="0"/>
    <x v="0"/>
    <x v="2"/>
    <x v="2"/>
    <x v="1"/>
    <x v="31"/>
    <s v="根据SOP规定，会议餐费用餐时间应与会议时间相连，且与正常午餐或晚餐时间相近"/>
    <s v="请解释说明"/>
  </r>
  <r>
    <x v="2"/>
    <x v="2"/>
    <s v="MN010203"/>
    <x v="0"/>
    <x v="0"/>
    <x v="2"/>
    <x v="2"/>
    <x v="2"/>
    <x v="32"/>
    <s v="根据SOP规定，会议餐费，不应超过人均 300 元。如有超过上述标准的特殊情况，需获得部门负责人的审批"/>
    <s v="请提供"/>
  </r>
  <r>
    <x v="2"/>
    <x v="2"/>
    <s v="MN010204"/>
    <x v="0"/>
    <x v="0"/>
    <x v="2"/>
    <x v="2"/>
    <x v="3"/>
    <x v="33"/>
    <s v="根据SOP规定，会议餐费≥300元，需提供水单明细"/>
    <s v="请将水单原件邮寄至我司，并将水单照片或扫描件补充上传至评论区"/>
  </r>
  <r>
    <x v="2"/>
    <x v="2"/>
    <s v="MN010205"/>
    <x v="0"/>
    <x v="0"/>
    <x v="2"/>
    <x v="2"/>
    <x v="4"/>
    <x v="34"/>
    <s v="根据SOP规定，个人银行卡支付超过300元，需提供付款记录及带有持卡人姓名的个人卡照片或银行对账单"/>
    <s v="请提供"/>
  </r>
  <r>
    <x v="2"/>
    <x v="2"/>
    <s v="MN010206"/>
    <x v="0"/>
    <x v="0"/>
    <x v="2"/>
    <x v="2"/>
    <x v="5"/>
    <x v="35"/>
    <s v="“微信零钱”、&quot;支付宝花呗”及“京东白条”支付，系统付款类型应选择“现金”非“个人卡”，需驳回修改"/>
    <s v="已为您系统驳回，请重新提交完成业务审批流程后@通知审核员"/>
  </r>
  <r>
    <x v="3"/>
    <x v="3"/>
    <s v="MN010301"/>
    <x v="0"/>
    <x v="0"/>
    <x v="3"/>
    <x v="3"/>
    <x v="0"/>
    <x v="36"/>
    <s v="根据SOP规定，HCP乘坐飞机，需选择经济舱，单程飞行时间超出8小时可提供商务舱。高于上述标准的交通需事前经业务部负责人、合规审计部负责人及 CEO书面批准。"/>
    <s v="请提供"/>
  </r>
  <r>
    <x v="4"/>
    <x v="4"/>
    <s v="MN010401"/>
    <x v="0"/>
    <x v="0"/>
    <x v="4"/>
    <x v="4"/>
    <x v="0"/>
    <x v="37"/>
    <s v="根据SOP规定，租车费用，提供详细行程单，包含：日期、接送人具体时间、客人姓名/电话、行程起点详细地址、送达详细地址、车型、金额等信息"/>
    <s v="请补充提供"/>
  </r>
  <r>
    <x v="4"/>
    <x v="4"/>
    <s v="MN010402"/>
    <x v="0"/>
    <x v="0"/>
    <x v="4"/>
    <x v="4"/>
    <x v="1"/>
    <x v="34"/>
    <s v="根据SOP规定，个人银行卡支付超过300元，需提供付款记录及带有持卡人姓名的个人卡照片或银行对账单"/>
    <s v="请提供"/>
  </r>
  <r>
    <x v="4"/>
    <x v="4"/>
    <s v="MN010403"/>
    <x v="0"/>
    <x v="0"/>
    <x v="4"/>
    <x v="4"/>
    <x v="2"/>
    <x v="35"/>
    <s v="“微信零钱”、&quot;支付宝花呗”及“京东白条”支付，系统付款类型应选择“现金”非“个人卡”，需驳回修改"/>
    <s v="已为您系统驳回，请重新提交完成业务审批流程后@通知审核员"/>
  </r>
  <r>
    <x v="5"/>
    <x v="5"/>
    <s v="MN010501"/>
    <x v="0"/>
    <x v="0"/>
    <x v="5"/>
    <x v="5"/>
    <x v="0"/>
    <x v="38"/>
    <s v="根据SOP规定，HCP火车出行不得提供商务舱坐席，高于上述标准的交通需事前经业务部负责人、合规审计部负责人及 CEO书面批准。"/>
    <s v="请提供"/>
  </r>
  <r>
    <x v="6"/>
    <x v="6"/>
    <s v="MN010601"/>
    <x v="0"/>
    <x v="0"/>
    <x v="6"/>
    <x v="6"/>
    <x v="0"/>
    <x v="39"/>
    <s v="根据SOP规定，会议茶歇不得独立于会议之外提供"/>
    <s v="请解释说明"/>
  </r>
  <r>
    <x v="6"/>
    <x v="6"/>
    <s v="MN010602"/>
    <x v="0"/>
    <x v="0"/>
    <x v="6"/>
    <x v="6"/>
    <x v="1"/>
    <x v="40"/>
    <s v="根据SOP规定，超市、商场或水果市场购买的费用，需要提供明细"/>
    <s v="请提供"/>
  </r>
  <r>
    <x v="6"/>
    <x v="6"/>
    <s v="MN010603"/>
    <x v="0"/>
    <x v="0"/>
    <x v="6"/>
    <x v="6"/>
    <x v="2"/>
    <x v="34"/>
    <s v="根据SOP规定，个人银行卡支付超过300元，需提供付款记录及带有持卡人姓名的个人卡照片或银行对账单"/>
    <s v="请提供"/>
  </r>
  <r>
    <x v="6"/>
    <x v="6"/>
    <s v="MN010604"/>
    <x v="0"/>
    <x v="0"/>
    <x v="6"/>
    <x v="6"/>
    <x v="3"/>
    <x v="35"/>
    <s v="“微信零钱”、&quot;支付宝花呗”及“京东白条”支付，系统付款类型应选择“现金”非“个人卡”，需驳回修改"/>
    <s v="已为您系统驳回，请重新提交完成业务审批流程后@通知审核员"/>
  </r>
  <r>
    <x v="7"/>
    <x v="7"/>
    <s v="MN010701"/>
    <x v="0"/>
    <x v="0"/>
    <x v="7"/>
    <x v="7"/>
    <x v="0"/>
    <x v="34"/>
    <s v="根据SOP规定，个人银行卡支付超过300元，需提供付款记录及带有持卡人姓名的个人卡照片或银行对账单"/>
    <s v="请提供"/>
  </r>
  <r>
    <x v="7"/>
    <x v="7"/>
    <s v="MN010702"/>
    <x v="0"/>
    <x v="0"/>
    <x v="7"/>
    <x v="7"/>
    <x v="1"/>
    <x v="35"/>
    <s v="“微信零钱”、&quot;支付宝花呗”及“京东白条”支付，系统付款类型应选择“现金”非“个人卡”，需驳回修改"/>
    <s v="已为您系统驳回，请重新提交完成业务审批流程后@通知审核员"/>
  </r>
  <r>
    <x v="8"/>
    <x v="8"/>
    <s v="MN010801"/>
    <x v="0"/>
    <x v="0"/>
    <x v="8"/>
    <x v="8"/>
    <x v="0"/>
    <x v="34"/>
    <s v="根据SOP规定，个人银行卡支付超过300元，需提供付款记录及带有持卡人姓名的个人卡照片或银行对账单"/>
    <s v="请提供"/>
  </r>
  <r>
    <x v="8"/>
    <x v="8"/>
    <s v="MN010802"/>
    <x v="0"/>
    <x v="0"/>
    <x v="8"/>
    <x v="8"/>
    <x v="1"/>
    <x v="35"/>
    <s v="“微信零钱”、&quot;支付宝花呗”及“京东白条”支付，系统付款类型应选择“现金”非“个人卡”，需驳回修改"/>
    <s v="已为您系统驳回，请重新提交完成业务审批流程后@通知审核员"/>
  </r>
  <r>
    <x v="9"/>
    <x v="9"/>
    <s v="MN010901"/>
    <x v="0"/>
    <x v="0"/>
    <x v="9"/>
    <x v="9"/>
    <x v="0"/>
    <x v="34"/>
    <s v="根据SOP规定，个人银行卡支付超过300元，需提供付款记录及带有持卡人姓名的个人卡照片或银行对账单"/>
    <s v="请提供"/>
  </r>
  <r>
    <x v="9"/>
    <x v="9"/>
    <s v="MN010902"/>
    <x v="0"/>
    <x v="0"/>
    <x v="9"/>
    <x v="9"/>
    <x v="1"/>
    <x v="35"/>
    <s v="“微信零钱”、&quot;支付宝花呗”及“京东白条”支付，系统付款类型应选择“现金”非“个人卡”，需驳回修改"/>
    <s v="已为您系统驳回，请重新提交完成业务审批流程后@通知审核员"/>
  </r>
  <r>
    <x v="10"/>
    <x v="10"/>
    <s v="MN011001"/>
    <x v="0"/>
    <x v="0"/>
    <x v="10"/>
    <x v="10"/>
    <x v="0"/>
    <x v="41"/>
    <s v="根据SOP规定，提供HCP的住宿费北上广深不得超过1000元/人/晚，其他城市不超过750元/人/晚，海外城市不超过2000元/人/晚，高于上述标准的住宿费需事前获得业务部负责人和合规审计部负责人的书面批准"/>
    <s v="请提供"/>
  </r>
  <r>
    <x v="10"/>
    <x v="10"/>
    <s v="MN011002"/>
    <x v="0"/>
    <x v="0"/>
    <x v="10"/>
    <x v="10"/>
    <x v="1"/>
    <x v="34"/>
    <s v="根据SOP规定，个人银行卡支付超过300元，需提供付款记录及带有持卡人姓名的个人卡照片或银行对账单"/>
    <s v="请提供"/>
  </r>
  <r>
    <x v="10"/>
    <x v="10"/>
    <s v="MN011003"/>
    <x v="0"/>
    <x v="0"/>
    <x v="10"/>
    <x v="10"/>
    <x v="2"/>
    <x v="35"/>
    <s v="“微信零钱”、&quot;支付宝花呗”及“京东白条”支付，系统付款类型应选择“现金”非“个人卡”，需驳回修改"/>
    <s v="已为您系统驳回，请重新提交完成业务审批流程后@通知审核员"/>
  </r>
  <r>
    <x v="11"/>
    <x v="11"/>
    <s v="MN011101"/>
    <x v="0"/>
    <x v="0"/>
    <x v="11"/>
    <x v="11"/>
    <x v="0"/>
    <x v="34"/>
    <s v="根据SOP规定，个人银行卡支付超过300元，需提供付款记录及带有持卡人姓名的个人卡照片或银行对账单"/>
    <s v="请提供"/>
  </r>
  <r>
    <x v="11"/>
    <x v="11"/>
    <s v="MN011102"/>
    <x v="0"/>
    <x v="0"/>
    <x v="11"/>
    <x v="11"/>
    <x v="1"/>
    <x v="35"/>
    <s v="“微信零钱”、&quot;支付宝花呗”及“京东白条”支付，系统付款类型应选择“现金”非“个人卡”，需驳回修改"/>
    <s v="已为您系统驳回，请重新提交完成业务审批流程后@通知审核员"/>
  </r>
  <r>
    <x v="12"/>
    <x v="12"/>
    <s v="MN020101"/>
    <x v="1"/>
    <x v="1"/>
    <x v="0"/>
    <x v="0"/>
    <x v="0"/>
    <x v="0"/>
    <s v="根据SOP规定，报销讲课费的讲者必须是讲者库中的讲者，且不能在会议结束后特批补入库"/>
    <s v="不符合要求不予支付讲课费"/>
  </r>
  <r>
    <x v="12"/>
    <x v="12"/>
    <s v="MN020102"/>
    <x v="1"/>
    <x v="1"/>
    <x v="0"/>
    <x v="0"/>
    <x v="1"/>
    <x v="1"/>
    <s v="根据SOP规定，业务约定书需完整正确的填写，并由HCP签字后将完整原件邮寄至我司"/>
    <s v="请提供"/>
  </r>
  <r>
    <x v="12"/>
    <x v="12"/>
    <s v="MN020103"/>
    <x v="1"/>
    <x v="1"/>
    <x v="0"/>
    <x v="0"/>
    <x v="2"/>
    <x v="2"/>
    <s v="根据SOP规定，支付讲课费的人数不应超过外部参会总人数的20%"/>
    <s v="请确认，并告知需扣除讲课费的HCP姓名"/>
  </r>
  <r>
    <x v="12"/>
    <x v="12"/>
    <s v="MN020104"/>
    <x v="1"/>
    <x v="1"/>
    <x v="0"/>
    <x v="0"/>
    <x v="3"/>
    <x v="4"/>
    <s v="根据SOP规定，支付讲课费的专家需全程参会，并签到"/>
    <s v="请补充提供签到，不符合要求不予支付讲课费"/>
  </r>
  <r>
    <x v="12"/>
    <x v="12"/>
    <s v="MN020105"/>
    <x v="1"/>
    <x v="1"/>
    <x v="0"/>
    <x v="0"/>
    <x v="4"/>
    <x v="5"/>
    <s v="根据SOP规定，患者教育HCP讲课时长需≥20分钟"/>
    <s v="不符合要求不予支付讲课费"/>
  </r>
  <r>
    <x v="12"/>
    <x v="12"/>
    <s v="MN020106"/>
    <x v="1"/>
    <x v="1"/>
    <x v="0"/>
    <x v="0"/>
    <x v="5"/>
    <x v="42"/>
    <s v="根据SOP规定，线上患者教育患者累计听课时长需≥10分钟"/>
    <s v="不符合要求不予支付讲课费"/>
  </r>
  <r>
    <x v="12"/>
    <x v="12"/>
    <s v="MN020107"/>
    <x v="1"/>
    <x v="1"/>
    <x v="0"/>
    <x v="0"/>
    <x v="6"/>
    <x v="43"/>
    <s v="根据SOP规定，线下患者教育患者需全程参加"/>
    <s v="不符合要求不予支付讲课费"/>
  </r>
  <r>
    <x v="12"/>
    <x v="12"/>
    <s v="MN020108"/>
    <x v="1"/>
    <x v="1"/>
    <x v="0"/>
    <x v="0"/>
    <x v="7"/>
    <x v="44"/>
    <s v="根据SOP规定，混合患者教育线上患者的累计听课时长需≥10分钟，线下患者需全程参加。"/>
    <s v="不符合要求不予支付讲课费"/>
  </r>
  <r>
    <x v="12"/>
    <x v="12"/>
    <s v="MN020109"/>
    <x v="1"/>
    <x v="1"/>
    <x v="0"/>
    <x v="0"/>
    <x v="8"/>
    <x v="34"/>
    <s v="根据SOP规定，个人银行卡支付超过300元，需提供付款记录及带有持卡人姓名的个人卡照片或银行对账单"/>
    <s v="请提供"/>
  </r>
  <r>
    <x v="12"/>
    <x v="12"/>
    <s v="MN020110"/>
    <x v="1"/>
    <x v="1"/>
    <x v="0"/>
    <x v="0"/>
    <x v="9"/>
    <x v="35"/>
    <s v="“微信零钱”、&quot;支付宝花呗”及“京东白条”支付，系统付款类型应选择“现金”非“个人卡”，需驳回修改"/>
    <s v="已为您系统驳回，请重新提交完成业务审批流程后@通知审核员"/>
  </r>
  <r>
    <x v="13"/>
    <x v="13"/>
    <s v="MN020001"/>
    <x v="1"/>
    <x v="1"/>
    <x v="1"/>
    <x v="1"/>
    <x v="0"/>
    <x v="45"/>
    <s v="根据SOP规定，线上患教可举办的组织者岗位为地区业务销售经理、医药代表、市场和商务，您无权限举办此类型会议"/>
    <s v="请提供逐级审批至部门负责人的授权邮件并抄送合规"/>
  </r>
  <r>
    <x v="13"/>
    <x v="13"/>
    <s v="MN020002"/>
    <x v="1"/>
    <x v="1"/>
    <x v="1"/>
    <x v="1"/>
    <x v="1"/>
    <x v="46"/>
    <s v="根据SOP规定，线下患教可举办的组织者岗位为地区业务销售经理、市场和商务，您无权限举办此类型会议"/>
    <s v="请提供逐级审批至部门负责人的授权邮件并抄送合规"/>
  </r>
  <r>
    <x v="13"/>
    <x v="13"/>
    <s v="MN020003"/>
    <x v="1"/>
    <x v="1"/>
    <x v="1"/>
    <x v="1"/>
    <x v="2"/>
    <x v="47"/>
    <s v="根据SOP规定，混合患教可举办的组织者岗位为地区业务销售经理、市场和商务，您无权限举办此类型会议"/>
    <s v="请提供逐级审批至部门负责人的授权邮件并抄送合规"/>
  </r>
  <r>
    <x v="13"/>
    <x v="13"/>
    <s v="MN020004"/>
    <x v="1"/>
    <x v="1"/>
    <x v="1"/>
    <x v="1"/>
    <x v="3"/>
    <x v="10"/>
    <s v="学会活动变更会议时间、会议地点需提供企业微信变更流程或变更审批邮件"/>
    <s v="请提供"/>
  </r>
  <r>
    <x v="13"/>
    <x v="13"/>
    <s v="MN020005"/>
    <x v="1"/>
    <x v="1"/>
    <x v="1"/>
    <x v="1"/>
    <x v="4"/>
    <x v="11"/>
    <s v="会议议程内容与系统填报的实际会议情况不一致"/>
    <s v="请确认并提供更新的会议议程"/>
  </r>
  <r>
    <x v="13"/>
    <x v="13"/>
    <s v="MN020006"/>
    <x v="1"/>
    <x v="1"/>
    <x v="1"/>
    <x v="1"/>
    <x v="5"/>
    <x v="12"/>
    <s v="会议议程需包含会议日期、会议开展时间、会议地点、会议内容、演讲主题和演讲人"/>
    <s v="请补充提供"/>
  </r>
  <r>
    <x v="13"/>
    <x v="13"/>
    <s v="MN020007"/>
    <x v="1"/>
    <x v="1"/>
    <x v="1"/>
    <x v="1"/>
    <x v="6"/>
    <x v="13"/>
    <s v="根据SOP规定，患者教育HCP讲课时长需≥20分钟"/>
    <s v="请确认"/>
  </r>
  <r>
    <x v="13"/>
    <x v="13"/>
    <s v="MN020008"/>
    <x v="1"/>
    <x v="1"/>
    <x v="1"/>
    <x v="1"/>
    <x v="7"/>
    <x v="14"/>
    <s v="根据SOP规定，原则上若全部参会人来自同一城市，学术活动地点不应跨行政区域，特殊情况需得到上级直属领导事前审批"/>
    <s v="请提供"/>
  </r>
  <r>
    <x v="13"/>
    <x v="13"/>
    <s v="MN020009"/>
    <x v="1"/>
    <x v="1"/>
    <x v="1"/>
    <x v="1"/>
    <x v="8"/>
    <x v="15"/>
    <s v="根据SOP规定，禁止在景区名胜或铺张奢侈的地点举办或参加会议"/>
    <s v="不符合要求不予报销"/>
  </r>
  <r>
    <x v="13"/>
    <x v="13"/>
    <s v="MN020010"/>
    <x v="1"/>
    <x v="1"/>
    <x v="1"/>
    <x v="1"/>
    <x v="9"/>
    <x v="16"/>
    <s v="根据SOP规定，禁止在水疗会所、温泉、度假、滑雪、高尔夫、赌博、邮轮、洗浴中心、KTV娱乐及以以上为主业的场所举办学术活动或进行业务招待活动"/>
    <s v="不符合要求不予报销"/>
  </r>
  <r>
    <x v="13"/>
    <x v="13"/>
    <s v="MN020011"/>
    <x v="1"/>
    <x v="1"/>
    <x v="1"/>
    <x v="1"/>
    <x v="10"/>
    <x v="17"/>
    <s v="系统实际内外部参会人数与签到表不一致"/>
    <s v="请确认实际内外部参会人数，并解释说明"/>
  </r>
  <r>
    <x v="13"/>
    <x v="13"/>
    <s v="MN020012"/>
    <x v="1"/>
    <x v="1"/>
    <x v="1"/>
    <x v="1"/>
    <x v="11"/>
    <x v="18"/>
    <s v="根据SOP规定，整场会议未使用电子签到单需提供逐级审批至部门负责人的审批邮件"/>
    <s v="请提供"/>
  </r>
  <r>
    <x v="13"/>
    <x v="13"/>
    <s v="MN020013"/>
    <x v="1"/>
    <x v="1"/>
    <x v="1"/>
    <x v="1"/>
    <x v="12"/>
    <x v="19"/>
    <s v="根据SOP规定，线下签到单原件需邮寄至我司"/>
    <s v="请将原件邮寄至我司，邮寄后提供快递单号"/>
  </r>
  <r>
    <x v="13"/>
    <x v="13"/>
    <s v="MN020014"/>
    <x v="1"/>
    <x v="1"/>
    <x v="1"/>
    <x v="1"/>
    <x v="13"/>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13"/>
    <x v="13"/>
    <s v="MN020015"/>
    <x v="1"/>
    <x v="1"/>
    <x v="1"/>
    <x v="1"/>
    <x v="14"/>
    <x v="48"/>
    <s v="根据SOP规定，线下患教会议照片需使用水印相机拍摄活动现场照片，并注明活动时间、活动地点、活动主题"/>
    <s v="请补充提供，如不符合要求将不予报销"/>
  </r>
  <r>
    <x v="13"/>
    <x v="13"/>
    <s v="MN020016"/>
    <x v="1"/>
    <x v="1"/>
    <x v="1"/>
    <x v="1"/>
    <x v="15"/>
    <x v="22"/>
    <s v="根据SOP规定，会议照片需体现并反映会议主题（如PPT标题、横幅、易拉宝等），且照片中的会议主题需清洗"/>
    <s v="请补充提供，如不符合要求将不予报销"/>
  </r>
  <r>
    <x v="13"/>
    <x v="13"/>
    <s v="MN020017"/>
    <x v="1"/>
    <x v="1"/>
    <x v="1"/>
    <x v="1"/>
    <x v="16"/>
    <x v="23"/>
    <s v="根据SOP规定，付费讲者需提供正面清晰演讲照片，照片应体现付费讲者和一张会议幻灯稿同框的场景，要求可识别付费讲者并能体现所参加会议"/>
    <s v="请补充提供，如不符合要求将不予报销"/>
  </r>
  <r>
    <x v="13"/>
    <x v="13"/>
    <s v="MN020018"/>
    <x v="1"/>
    <x v="1"/>
    <x v="1"/>
    <x v="1"/>
    <x v="17"/>
    <x v="24"/>
    <s v="根据SOP规定，会议照片水印所反映拍摄时间与会议议程相一致"/>
    <s v="请补充提供，如不符合要求将不予报销"/>
  </r>
  <r>
    <x v="13"/>
    <x v="13"/>
    <s v="MN020019"/>
    <x v="1"/>
    <x v="1"/>
    <x v="1"/>
    <x v="1"/>
    <x v="18"/>
    <x v="49"/>
    <s v="根据SOP规定，线下患者教育会议照片需显示50%参会人员（内+外）"/>
    <s v="请补充提供，如不符合要求将不予报销"/>
  </r>
  <r>
    <x v="13"/>
    <x v="13"/>
    <s v="MN020020"/>
    <x v="1"/>
    <x v="1"/>
    <x v="1"/>
    <x v="1"/>
    <x v="19"/>
    <x v="50"/>
    <s v="根据SOP规定，线上患者教育会议照片需显示课件名称及讲者画面"/>
    <s v="请补充提供，如不符合要求将不予报销"/>
  </r>
  <r>
    <x v="13"/>
    <x v="13"/>
    <s v="MN020021"/>
    <x v="1"/>
    <x v="1"/>
    <x v="1"/>
    <x v="1"/>
    <x v="20"/>
    <x v="26"/>
    <s v="根据SOP规定，患者教育内部参会者需≥1人（包含会议组织者）"/>
    <s v="请确认实际内部参会人数"/>
  </r>
  <r>
    <x v="13"/>
    <x v="13"/>
    <s v="MN020022"/>
    <x v="1"/>
    <x v="1"/>
    <x v="1"/>
    <x v="1"/>
    <x v="21"/>
    <x v="27"/>
    <s v="根据SOP规定，患者教育外部参会者需≥5人"/>
    <s v="请确认实际外部参会人数"/>
  </r>
  <r>
    <x v="13"/>
    <x v="13"/>
    <s v="MN020023"/>
    <x v="1"/>
    <x v="1"/>
    <x v="1"/>
    <x v="1"/>
    <x v="22"/>
    <x v="28"/>
    <s v="根据SOP规定，原则上公司仅承担学术活动会议议程前后24小时内所产生的相关费用，例外事项需提供部门负责人及合规审计总监的共同批准"/>
    <s v="如需报销请提供特批"/>
  </r>
  <r>
    <x v="13"/>
    <x v="13"/>
    <s v="MN020024"/>
    <x v="1"/>
    <x v="1"/>
    <x v="1"/>
    <x v="1"/>
    <x v="23"/>
    <x v="29"/>
    <s v="根据SOP规定，患者教育可报销费用有讲课费、餐饮、交通"/>
    <s v="额外费用不予报销已为您扣除"/>
  </r>
  <r>
    <x v="14"/>
    <x v="14"/>
    <s v="MN020201"/>
    <x v="1"/>
    <x v="1"/>
    <x v="2"/>
    <x v="2"/>
    <x v="0"/>
    <x v="30"/>
    <s v="根据SOP规定，会议餐费需提供餐厅门头照"/>
    <s v="请提供"/>
  </r>
  <r>
    <x v="14"/>
    <x v="14"/>
    <s v="MN020202"/>
    <x v="1"/>
    <x v="1"/>
    <x v="2"/>
    <x v="2"/>
    <x v="1"/>
    <x v="31"/>
    <s v="根据SOP规定，会议餐费用餐时间应与会议时间相连，且与正常午餐或晚餐时间相近"/>
    <s v="请解释说明"/>
  </r>
  <r>
    <x v="14"/>
    <x v="14"/>
    <s v="MN020203"/>
    <x v="1"/>
    <x v="1"/>
    <x v="2"/>
    <x v="2"/>
    <x v="2"/>
    <x v="32"/>
    <s v="根据SOP规定，会议餐费，不应超过人均 300 元。如有超过上述标准的特殊情况，需获得部门负责人的审批"/>
    <s v="请提供"/>
  </r>
  <r>
    <x v="14"/>
    <x v="14"/>
    <s v="MN020204"/>
    <x v="1"/>
    <x v="1"/>
    <x v="2"/>
    <x v="2"/>
    <x v="3"/>
    <x v="33"/>
    <s v="根据SOP规定，会议餐费≥300元，需提供水单明细"/>
    <s v="请将水单原件邮寄至我司，并将水单照片或扫描件补充上传至评论区"/>
  </r>
  <r>
    <x v="14"/>
    <x v="14"/>
    <s v="MN020205"/>
    <x v="1"/>
    <x v="1"/>
    <x v="2"/>
    <x v="2"/>
    <x v="4"/>
    <x v="34"/>
    <s v="根据SOP规定，个人银行卡支付超过300元，需提供付款记录及带有持卡人姓名的个人卡照片或银行对账单"/>
    <s v="请提供"/>
  </r>
  <r>
    <x v="14"/>
    <x v="14"/>
    <s v="MN020206"/>
    <x v="1"/>
    <x v="1"/>
    <x v="2"/>
    <x v="2"/>
    <x v="5"/>
    <x v="35"/>
    <s v="“微信零钱”、&quot;支付宝花呗”及“京东白条”支付，系统付款类型应选择“现金”非“个人卡”，需驳回修改"/>
    <s v="已为您系统驳回，请重新提交完成业务审批流程后@通知审核员"/>
  </r>
  <r>
    <x v="15"/>
    <x v="15"/>
    <s v="MN020601"/>
    <x v="1"/>
    <x v="1"/>
    <x v="6"/>
    <x v="6"/>
    <x v="0"/>
    <x v="39"/>
    <s v="根据SOP规定，会议茶歇不得独立于会议之外提供"/>
    <s v="请解释说明"/>
  </r>
  <r>
    <x v="15"/>
    <x v="15"/>
    <s v="MN020602"/>
    <x v="1"/>
    <x v="1"/>
    <x v="6"/>
    <x v="6"/>
    <x v="1"/>
    <x v="40"/>
    <s v="根据SOP规定，超市、商场或水果市场购买的费用，需要提供明细"/>
    <s v="请提供"/>
  </r>
  <r>
    <x v="15"/>
    <x v="15"/>
    <s v="MN020603"/>
    <x v="1"/>
    <x v="1"/>
    <x v="6"/>
    <x v="6"/>
    <x v="2"/>
    <x v="34"/>
    <s v="根据SOP规定，个人银行卡支付超过300元，需提供付款记录及带有持卡人姓名的个人卡照片或银行对账单"/>
    <s v="请提供"/>
  </r>
  <r>
    <x v="15"/>
    <x v="15"/>
    <s v="MN020604"/>
    <x v="1"/>
    <x v="1"/>
    <x v="6"/>
    <x v="6"/>
    <x v="3"/>
    <x v="35"/>
    <s v="“微信零钱”、&quot;支付宝花呗”及“京东白条”支付，系统付款类型应选择“现金”非“个人卡”，需驳回修改"/>
    <s v="已为您系统驳回，请重新提交完成业务审批流程后@通知审核员"/>
  </r>
  <r>
    <x v="16"/>
    <x v="16"/>
    <s v="MN030201"/>
    <x v="2"/>
    <x v="2"/>
    <x v="2"/>
    <x v="2"/>
    <x v="0"/>
    <x v="30"/>
    <s v="根据SOP规定，会议餐费需提供餐厅门头照"/>
    <s v="请提供"/>
  </r>
  <r>
    <x v="16"/>
    <x v="16"/>
    <s v="MN030202"/>
    <x v="2"/>
    <x v="2"/>
    <x v="2"/>
    <x v="2"/>
    <x v="1"/>
    <x v="31"/>
    <s v="根据SOP规定，会议餐费用餐时间应与会议时间相连，且与正常午餐或晚餐时间相近"/>
    <s v="请解释说明"/>
  </r>
  <r>
    <x v="16"/>
    <x v="16"/>
    <s v="MN030203"/>
    <x v="2"/>
    <x v="2"/>
    <x v="2"/>
    <x v="2"/>
    <x v="2"/>
    <x v="32"/>
    <s v="根据SOP规定，院内会会议餐费，不应超过人均 100元。如有超过上述标准的特殊情况，需获得部门负责人和合规部负责人的审批"/>
    <s v="请提供"/>
  </r>
  <r>
    <x v="16"/>
    <x v="16"/>
    <s v="MN030204"/>
    <x v="2"/>
    <x v="2"/>
    <x v="2"/>
    <x v="2"/>
    <x v="3"/>
    <x v="33"/>
    <s v="根据SOP规定，会议餐费≥300元，需提供水单明细"/>
    <s v="请将水单原件邮寄至我司，并将水单照片或扫描件补充上传至评论区"/>
  </r>
  <r>
    <x v="16"/>
    <x v="16"/>
    <s v="MN030205"/>
    <x v="2"/>
    <x v="2"/>
    <x v="2"/>
    <x v="2"/>
    <x v="4"/>
    <x v="34"/>
    <s v="根据SOP规定，个人银行卡支付超过300元，需提供付款记录及带有持卡人姓名的个人卡照片或银行对账单"/>
    <s v="请提供"/>
  </r>
  <r>
    <x v="16"/>
    <x v="16"/>
    <s v="MN030206"/>
    <x v="2"/>
    <x v="2"/>
    <x v="2"/>
    <x v="2"/>
    <x v="5"/>
    <x v="35"/>
    <s v="“微信零钱”、&quot;支付宝花呗”及“京东白条”支付，系统付款类型应选择“现金”非“个人卡”，需驳回修改"/>
    <s v="已为您系统驳回，请重新提交完成业务审批流程后@通知审核员"/>
  </r>
  <r>
    <x v="17"/>
    <x v="17"/>
    <s v="MN030001"/>
    <x v="2"/>
    <x v="2"/>
    <x v="1"/>
    <x v="1"/>
    <x v="0"/>
    <x v="51"/>
    <s v="根据SOP规定，院内会可举办的组织者岗位为医药代表、地区业务销售经理，您无权限举办此类型会议"/>
    <s v="请提供逐级审批至部门负责人的授权邮件并抄送合规"/>
  </r>
  <r>
    <x v="17"/>
    <x v="17"/>
    <s v="MN030002"/>
    <x v="2"/>
    <x v="2"/>
    <x v="1"/>
    <x v="1"/>
    <x v="1"/>
    <x v="10"/>
    <s v="学会活动变更会议时间、会议地点需提供企业微信变更流程或变更审批邮件"/>
    <s v="请提供"/>
  </r>
  <r>
    <x v="17"/>
    <x v="17"/>
    <s v="MN030003"/>
    <x v="2"/>
    <x v="2"/>
    <x v="1"/>
    <x v="1"/>
    <x v="2"/>
    <x v="11"/>
    <s v="会议议程内容与系统填报的实际会议情况不一致"/>
    <s v="请确认并提供更新的会议议程"/>
  </r>
  <r>
    <x v="17"/>
    <x v="17"/>
    <s v="MN030004"/>
    <x v="2"/>
    <x v="2"/>
    <x v="1"/>
    <x v="1"/>
    <x v="3"/>
    <x v="12"/>
    <s v="会议议程需包含会议日期、会议开展时间、会议地点、会议内容、演讲主题和演讲人"/>
    <s v="请补充提供"/>
  </r>
  <r>
    <x v="17"/>
    <x v="17"/>
    <s v="MN030005"/>
    <x v="2"/>
    <x v="2"/>
    <x v="1"/>
    <x v="1"/>
    <x v="4"/>
    <x v="13"/>
    <s v="根据SOP规定，院内会会议时长需≥20分钟"/>
    <s v="请确认"/>
  </r>
  <r>
    <x v="17"/>
    <x v="17"/>
    <s v="MN030006"/>
    <x v="2"/>
    <x v="2"/>
    <x v="1"/>
    <x v="1"/>
    <x v="5"/>
    <x v="52"/>
    <s v="根据SOP规定，院内会地点仅限院内，不复核要求不予报销"/>
    <s v="已为您扣除"/>
  </r>
  <r>
    <x v="17"/>
    <x v="17"/>
    <s v="MN030007"/>
    <x v="2"/>
    <x v="2"/>
    <x v="1"/>
    <x v="1"/>
    <x v="6"/>
    <x v="17"/>
    <s v="系统实际内外部参会人数与签到表不一致"/>
    <s v="请确认实际内外部参会人数，并解释说明"/>
  </r>
  <r>
    <x v="17"/>
    <x v="17"/>
    <s v="MN030008"/>
    <x v="2"/>
    <x v="2"/>
    <x v="1"/>
    <x v="1"/>
    <x v="7"/>
    <x v="18"/>
    <s v="根据SOP规定，整场会议未使用电子签到单需提供逐级审批至部门负责人的审批邮件"/>
    <s v="请提供"/>
  </r>
  <r>
    <x v="17"/>
    <x v="17"/>
    <s v="MN030009"/>
    <x v="2"/>
    <x v="2"/>
    <x v="1"/>
    <x v="1"/>
    <x v="8"/>
    <x v="19"/>
    <s v="根据SOP规定，线下签到单原件需邮寄至我司"/>
    <s v="请将原件邮寄至我司，邮寄后提供快递单号"/>
  </r>
  <r>
    <x v="17"/>
    <x v="17"/>
    <s v="MN030010"/>
    <x v="2"/>
    <x v="2"/>
    <x v="1"/>
    <x v="1"/>
    <x v="9"/>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17"/>
    <x v="17"/>
    <s v="MN030011"/>
    <x v="2"/>
    <x v="2"/>
    <x v="1"/>
    <x v="1"/>
    <x v="10"/>
    <x v="21"/>
    <s v="根据SOP规定，会议照片需使用水印相机拍摄活动现场照片，并注明活动时间、活动地点、活动主题"/>
    <s v="请补充提供，如不符合要求将不予报销"/>
  </r>
  <r>
    <x v="17"/>
    <x v="17"/>
    <s v="MN030012"/>
    <x v="2"/>
    <x v="2"/>
    <x v="1"/>
    <x v="1"/>
    <x v="11"/>
    <x v="22"/>
    <s v="根据SOP规定，会议照片需体现并反映会议主题（如PPT标题、横幅、易拉宝等），且照片中的会议主题需清洗"/>
    <s v="请补充提供，如不符合要求将不予报销"/>
  </r>
  <r>
    <x v="17"/>
    <x v="17"/>
    <s v="MN030013"/>
    <x v="2"/>
    <x v="2"/>
    <x v="1"/>
    <x v="1"/>
    <x v="12"/>
    <x v="23"/>
    <s v="根据SOP规定，付费讲者需提供正面清晰演讲照片，照片应体现付费讲者和一张会议幻灯稿同框的场景，要求可识别付费讲者并能体现所参加会议"/>
    <s v="请补充提供，如不符合要求将不予报销"/>
  </r>
  <r>
    <x v="17"/>
    <x v="17"/>
    <s v="MN030014"/>
    <x v="2"/>
    <x v="2"/>
    <x v="1"/>
    <x v="1"/>
    <x v="13"/>
    <x v="24"/>
    <s v="根据SOP规定，会议照片水印所反映拍摄时间与会议议程相一致"/>
    <s v="请补充提供，如不符合要求将不予报销"/>
  </r>
  <r>
    <x v="17"/>
    <x v="17"/>
    <s v="MN030015"/>
    <x v="2"/>
    <x v="2"/>
    <x v="1"/>
    <x v="1"/>
    <x v="14"/>
    <x v="25"/>
    <s v="根据SOP规定，院内会会议照片需显示100%外部参会人员"/>
    <s v="请补充提供，如不符合要求将不予报销"/>
  </r>
  <r>
    <x v="17"/>
    <x v="17"/>
    <s v="MN030016"/>
    <x v="2"/>
    <x v="2"/>
    <x v="1"/>
    <x v="1"/>
    <x v="15"/>
    <x v="26"/>
    <s v="根据SOP规定，院内会内部参会者需≥1人（含会议组织者）"/>
    <s v="请确认实际内部参会人数"/>
  </r>
  <r>
    <x v="17"/>
    <x v="17"/>
    <s v="MN030017"/>
    <x v="2"/>
    <x v="2"/>
    <x v="1"/>
    <x v="1"/>
    <x v="16"/>
    <x v="28"/>
    <s v="根据SOP规定，原则上公司仅承担学术活动会议议程前后24小时内所产生的相关费用，例外事项需提供部门负责人及合规审计总监的共同批准"/>
    <s v="如需报销请提供特批"/>
  </r>
  <r>
    <x v="17"/>
    <x v="17"/>
    <s v="MN030018"/>
    <x v="2"/>
    <x v="2"/>
    <x v="1"/>
    <x v="1"/>
    <x v="17"/>
    <x v="29"/>
    <s v="根据SOP规定，院内会仅允许报销会议餐饮费"/>
    <s v="额外费用不予报销已为您扣除"/>
  </r>
  <r>
    <x v="18"/>
    <x v="18"/>
    <s v="MN030601"/>
    <x v="2"/>
    <x v="2"/>
    <x v="6"/>
    <x v="6"/>
    <x v="0"/>
    <x v="53"/>
    <s v="根据SOP规定，院内会议茶歇与会议餐费合计金额，不应超过人均 100元。如有超过上述标准的特殊情况，需获得部门负责人和合规部负责人的审批"/>
    <s v="请提供"/>
  </r>
  <r>
    <x v="18"/>
    <x v="18"/>
    <s v="MN030602"/>
    <x v="2"/>
    <x v="2"/>
    <x v="6"/>
    <x v="6"/>
    <x v="1"/>
    <x v="34"/>
    <s v="根据SOP规定，个人银行卡支付超过300元，需提供付款记录及带有持卡人姓名的个人卡照片或银行对账单"/>
    <s v="请提供"/>
  </r>
  <r>
    <x v="18"/>
    <x v="18"/>
    <s v="MN030603"/>
    <x v="2"/>
    <x v="2"/>
    <x v="6"/>
    <x v="6"/>
    <x v="2"/>
    <x v="35"/>
    <s v="“微信零钱”、&quot;支付宝花呗”及“京东白条”支付，系统付款类型应选择“现金”非“个人卡”，需驳回修改"/>
    <s v="已为您系统驳回，请重新提交完成业务审批流程后@通知审核员"/>
  </r>
  <r>
    <x v="19"/>
    <x v="19"/>
    <s v="MN040101"/>
    <x v="3"/>
    <x v="3"/>
    <x v="0"/>
    <x v="0"/>
    <x v="0"/>
    <x v="0"/>
    <s v="根据SOP规定，报销讲课费的讲者必须是讲者库中的讲者，且不能在会议结束后特批补入库"/>
    <s v="不符合要求不予支付讲课费"/>
  </r>
  <r>
    <x v="19"/>
    <x v="19"/>
    <s v="MN040102"/>
    <x v="3"/>
    <x v="3"/>
    <x v="0"/>
    <x v="0"/>
    <x v="1"/>
    <x v="1"/>
    <s v="根据SOP规定，业务约定书需完整正确的填写，并由HCP签字后将完整原件邮寄至我司"/>
    <s v="请提供"/>
  </r>
  <r>
    <x v="19"/>
    <x v="19"/>
    <s v="MN040105"/>
    <x v="3"/>
    <x v="3"/>
    <x v="0"/>
    <x v="0"/>
    <x v="4"/>
    <x v="4"/>
    <s v="根据SOP规定，支付讲课费的专家需全程参会，并签到"/>
    <s v="请补充提供签到，不符合要求不予支付讲课费"/>
  </r>
  <r>
    <x v="19"/>
    <x v="19"/>
    <s v="MN040106"/>
    <x v="3"/>
    <x v="3"/>
    <x v="0"/>
    <x v="0"/>
    <x v="5"/>
    <x v="5"/>
    <s v="根据SOP规定，多学科专家研讨会讲者讲课时间（包括手术演示、讨论问答）需≥20分钟"/>
    <s v="不符合要求不予支付讲课费"/>
  </r>
  <r>
    <x v="19"/>
    <x v="19"/>
    <s v="MN040107"/>
    <x v="3"/>
    <x v="3"/>
    <x v="0"/>
    <x v="0"/>
    <x v="6"/>
    <x v="6"/>
    <s v="根据SOP规定，多学科专家研讨会点评专家点评时长累计需≥10分钟，且必须具体体现在会议日程中"/>
    <s v="不符合要求不予支付讲课费"/>
  </r>
  <r>
    <x v="19"/>
    <x v="19"/>
    <s v="MN040108"/>
    <x v="3"/>
    <x v="3"/>
    <x v="0"/>
    <x v="0"/>
    <x v="7"/>
    <x v="7"/>
    <s v="根据SOP规定，多学科专家研讨会点评专家的讲课费支付标准为80%*职级标准，但不得超过1000元"/>
    <s v="将为您扣除差额"/>
  </r>
  <r>
    <x v="19"/>
    <x v="19"/>
    <s v="MN040109"/>
    <x v="3"/>
    <x v="3"/>
    <x v="0"/>
    <x v="0"/>
    <x v="8"/>
    <x v="8"/>
    <s v="根据SOP规定，多学科专家研讨会主席原则上应全程参加会议并致辞发言"/>
    <s v="不符合要求不予支付讲课费"/>
  </r>
  <r>
    <x v="19"/>
    <x v="19"/>
    <s v="MN040110"/>
    <x v="3"/>
    <x v="3"/>
    <x v="0"/>
    <x v="0"/>
    <x v="9"/>
    <x v="8"/>
    <s v="根据SOP规定，多学科专家研讨会付费点评专家需提供签字的MDT点评记录"/>
    <s v="请提供"/>
  </r>
  <r>
    <x v="20"/>
    <x v="20"/>
    <s v="MN040001"/>
    <x v="3"/>
    <x v="3"/>
    <x v="1"/>
    <x v="1"/>
    <x v="0"/>
    <x v="54"/>
    <s v="根据SOP规定，多学科专家研讨会可举办的组织者岗位为市场、医学和大区业务销售经理级以上，您无权限举办此类型会议"/>
    <s v="请提供逐级审批至部门负责人的授权邮件并抄送合规"/>
  </r>
  <r>
    <x v="20"/>
    <x v="20"/>
    <s v="MN040002"/>
    <x v="3"/>
    <x v="3"/>
    <x v="1"/>
    <x v="1"/>
    <x v="1"/>
    <x v="10"/>
    <s v="学会活动变更会议时间、会议地点需提供企业微信变更流程或变更审批邮件"/>
    <s v="请提供"/>
  </r>
  <r>
    <x v="20"/>
    <x v="20"/>
    <s v="MN040003"/>
    <x v="3"/>
    <x v="3"/>
    <x v="1"/>
    <x v="1"/>
    <x v="2"/>
    <x v="11"/>
    <s v="会议议程内容与系统填报的实际会议情况不一致"/>
    <s v="请确认并提供更新的会议议程"/>
  </r>
  <r>
    <x v="20"/>
    <x v="20"/>
    <s v="MN040004"/>
    <x v="3"/>
    <x v="3"/>
    <x v="1"/>
    <x v="1"/>
    <x v="3"/>
    <x v="12"/>
    <s v="会议议程需包含会议日期、会议开展时间、会议地点、会议内容、演讲主题和演讲人"/>
    <s v="请补充提供"/>
  </r>
  <r>
    <x v="20"/>
    <x v="20"/>
    <s v="MN040005"/>
    <x v="3"/>
    <x v="3"/>
    <x v="1"/>
    <x v="1"/>
    <x v="4"/>
    <x v="13"/>
    <s v="根据SOP规定，多学科专家研讨会会议时长需≥ 半天（2-4H）"/>
    <s v="请确认"/>
  </r>
  <r>
    <x v="20"/>
    <x v="20"/>
    <s v="MN040006"/>
    <x v="3"/>
    <x v="3"/>
    <x v="1"/>
    <x v="1"/>
    <x v="5"/>
    <x v="15"/>
    <s v="根据SOP规定，禁止在景区名胜或铺张奢侈的地点举办或参加会议"/>
    <s v="不符合要求不予报销"/>
  </r>
  <r>
    <x v="20"/>
    <x v="20"/>
    <s v="MN040007"/>
    <x v="3"/>
    <x v="3"/>
    <x v="1"/>
    <x v="1"/>
    <x v="6"/>
    <x v="16"/>
    <s v="根据SOP规定，禁止在水疗会所、温泉、度假、滑雪、高尔夫、赌博、邮轮、洗浴中心、KTV娱乐及以以上为主业的场所举办学术活动或进行业务招待活动"/>
    <s v="不符合要求不予报销"/>
  </r>
  <r>
    <x v="20"/>
    <x v="20"/>
    <s v="MN040008"/>
    <x v="3"/>
    <x v="3"/>
    <x v="1"/>
    <x v="1"/>
    <x v="7"/>
    <x v="17"/>
    <s v="系统实际内外部参会人数与签到表不一致"/>
    <s v="请确认实际内外部参会人数，并解释说明"/>
  </r>
  <r>
    <x v="20"/>
    <x v="20"/>
    <s v="MN040009"/>
    <x v="3"/>
    <x v="3"/>
    <x v="1"/>
    <x v="1"/>
    <x v="8"/>
    <x v="18"/>
    <s v="根据SOP规定，整场会议未使用电子签到单需提供逐级审批至部门负责人的审批邮件"/>
    <s v="请提供"/>
  </r>
  <r>
    <x v="20"/>
    <x v="20"/>
    <s v="MN040010"/>
    <x v="3"/>
    <x v="3"/>
    <x v="1"/>
    <x v="1"/>
    <x v="9"/>
    <x v="19"/>
    <s v="根据SOP规定，线下签到单原件需邮寄至我司"/>
    <s v="请将原件邮寄至我司，邮寄后提供快递单号"/>
  </r>
  <r>
    <x v="20"/>
    <x v="20"/>
    <s v="MN040011"/>
    <x v="3"/>
    <x v="3"/>
    <x v="1"/>
    <x v="1"/>
    <x v="10"/>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20"/>
    <x v="20"/>
    <s v="MN040012"/>
    <x v="3"/>
    <x v="3"/>
    <x v="1"/>
    <x v="1"/>
    <x v="11"/>
    <x v="21"/>
    <s v="根据SOP规定，会议照片需使用水印相机拍摄活动现场照片，并注明活动时间、活动地点、活动主题"/>
    <s v="请补充提供，如不符合要求将不予报销"/>
  </r>
  <r>
    <x v="20"/>
    <x v="20"/>
    <s v="MN040013"/>
    <x v="3"/>
    <x v="3"/>
    <x v="1"/>
    <x v="1"/>
    <x v="12"/>
    <x v="22"/>
    <s v="根据SOP规定，会议照片需体现并反映会议主题（如PPT标题、横幅、易拉宝等），且照片中的会议主题需清洗"/>
    <s v="请补充提供，如不符合要求将不予报销"/>
  </r>
  <r>
    <x v="20"/>
    <x v="20"/>
    <s v="MN040014"/>
    <x v="3"/>
    <x v="3"/>
    <x v="1"/>
    <x v="1"/>
    <x v="13"/>
    <x v="23"/>
    <s v="根据SOP规定，付费讲者需提供正面清晰演讲照片，照片应体现付费讲者和一张会议幻灯稿同框的场景，要求可识别付费讲者并能体现所参加会议"/>
    <s v="请补充提供，如不符合要求将不予报销"/>
  </r>
  <r>
    <x v="20"/>
    <x v="20"/>
    <s v="MN040015"/>
    <x v="3"/>
    <x v="3"/>
    <x v="1"/>
    <x v="1"/>
    <x v="14"/>
    <x v="24"/>
    <s v="根据SOP规定，会议照片水印所反映拍摄时间与会议议程相一致"/>
    <s v="请补充提供，如不符合要求将不予报销"/>
  </r>
  <r>
    <x v="20"/>
    <x v="20"/>
    <s v="MN040016"/>
    <x v="3"/>
    <x v="3"/>
    <x v="1"/>
    <x v="1"/>
    <x v="15"/>
    <x v="25"/>
    <s v="根据SOP规定，多学科专家研讨会会议照片需显示50%及以上参会人员（内+外）"/>
    <s v="请补充提供，如不符合要求将不予报销"/>
  </r>
  <r>
    <x v="20"/>
    <x v="20"/>
    <s v="MN040017"/>
    <x v="3"/>
    <x v="3"/>
    <x v="1"/>
    <x v="1"/>
    <x v="16"/>
    <x v="26"/>
    <s v="根据SOP规定，多学科专家研讨会内部参会者不可少于2人（包含会议组织者）"/>
    <s v="请确认实际内部参会人数"/>
  </r>
  <r>
    <x v="20"/>
    <x v="20"/>
    <s v="MN040018"/>
    <x v="3"/>
    <x v="3"/>
    <x v="1"/>
    <x v="1"/>
    <x v="17"/>
    <x v="28"/>
    <s v="根据SOP规定，原则上公司仅承担学术活动会议议程前后24小时内所产生的相关费用，例外事项需提供部门负责人及合规审计总监的共同批准"/>
    <s v="如需报销请提供特批"/>
  </r>
  <r>
    <x v="20"/>
    <x v="20"/>
    <s v="MN040019"/>
    <x v="3"/>
    <x v="3"/>
    <x v="1"/>
    <x v="1"/>
    <x v="18"/>
    <x v="29"/>
    <s v="根据SOP规定，多学科专家研讨会可报销费用有讲课费、餐饮、住宿费、场租和交通费"/>
    <s v="额外费用不予报销已为您扣除"/>
  </r>
  <r>
    <x v="21"/>
    <x v="21"/>
    <s v="MN040201"/>
    <x v="3"/>
    <x v="3"/>
    <x v="2"/>
    <x v="2"/>
    <x v="0"/>
    <x v="30"/>
    <s v="根据SOP规定，会议餐费需提供餐厅门头照"/>
    <s v="请提供"/>
  </r>
  <r>
    <x v="21"/>
    <x v="21"/>
    <s v="MN040202"/>
    <x v="3"/>
    <x v="3"/>
    <x v="2"/>
    <x v="2"/>
    <x v="1"/>
    <x v="31"/>
    <s v="根据SOP规定，会议餐费用餐时间应与会议时间相连，且与正常午餐或晚餐时间相近"/>
    <s v="请解释说明"/>
  </r>
  <r>
    <x v="21"/>
    <x v="21"/>
    <s v="MN040203"/>
    <x v="3"/>
    <x v="3"/>
    <x v="2"/>
    <x v="2"/>
    <x v="2"/>
    <x v="32"/>
    <s v="根据SOP规定，会议餐费，不应超过人均 300 元。如有超过上述标准的特殊情况，需获得部门负责人的审批"/>
    <s v="请提供"/>
  </r>
  <r>
    <x v="21"/>
    <x v="21"/>
    <s v="MN040204"/>
    <x v="3"/>
    <x v="3"/>
    <x v="2"/>
    <x v="2"/>
    <x v="3"/>
    <x v="33"/>
    <s v="根据SOP规定，会议餐费≥300元，需提供水单明细"/>
    <s v="请将水单原件邮寄至我司，并将水单照片或扫描件补充上传至评论区"/>
  </r>
  <r>
    <x v="21"/>
    <x v="21"/>
    <s v="MN040205"/>
    <x v="3"/>
    <x v="3"/>
    <x v="2"/>
    <x v="2"/>
    <x v="4"/>
    <x v="34"/>
    <s v="根据SOP规定，个人银行卡支付超过300元，需提供付款记录及带有持卡人姓名的个人卡照片或银行对账单"/>
    <s v="请提供"/>
  </r>
  <r>
    <x v="21"/>
    <x v="21"/>
    <s v="MN040206"/>
    <x v="3"/>
    <x v="3"/>
    <x v="2"/>
    <x v="2"/>
    <x v="5"/>
    <x v="35"/>
    <s v="“微信零钱”、&quot;支付宝花呗”及“京东白条”支付，系统付款类型应选择“现金”非“个人卡”，需驳回修改"/>
    <s v="已为您系统驳回，请重新提交完成业务审批流程后@通知审核员"/>
  </r>
  <r>
    <x v="22"/>
    <x v="22"/>
    <s v="MN040301"/>
    <x v="3"/>
    <x v="3"/>
    <x v="3"/>
    <x v="3"/>
    <x v="0"/>
    <x v="36"/>
    <s v="根据SOP规定，HCP乘坐飞机，需选择经济舱，单程飞行时间超出8小时可提供商务舱。高于上述标准的交通需事前经业务部负责人、合规审计部负责人及 CEO书面批准。"/>
    <s v="请提供"/>
  </r>
  <r>
    <x v="23"/>
    <x v="23"/>
    <s v="MN040401"/>
    <x v="3"/>
    <x v="3"/>
    <x v="4"/>
    <x v="4"/>
    <x v="0"/>
    <x v="37"/>
    <s v="根据SOP规定，租车费用，提供详细行程单，包含：日期、接送人具体时间、客人姓名/电话、行程起点详细地址、送达详细地址、车型、金额等信息"/>
    <s v="请补充提供"/>
  </r>
  <r>
    <x v="23"/>
    <x v="23"/>
    <s v="MN040402"/>
    <x v="3"/>
    <x v="3"/>
    <x v="4"/>
    <x v="4"/>
    <x v="1"/>
    <x v="34"/>
    <s v="根据SOP规定，个人银行卡支付超过300元，需提供付款记录及带有持卡人姓名的个人卡照片或银行对账单"/>
    <s v="请提供"/>
  </r>
  <r>
    <x v="23"/>
    <x v="23"/>
    <s v="MN040403"/>
    <x v="3"/>
    <x v="3"/>
    <x v="4"/>
    <x v="4"/>
    <x v="2"/>
    <x v="35"/>
    <s v="“微信零钱”、&quot;支付宝花呗”及“京东白条”支付，系统付款类型应选择“现金”非“个人卡”，需驳回修改"/>
    <s v="已为您系统驳回，请重新提交完成业务审批流程后@通知审核员"/>
  </r>
  <r>
    <x v="24"/>
    <x v="24"/>
    <s v="MN040501"/>
    <x v="3"/>
    <x v="3"/>
    <x v="5"/>
    <x v="5"/>
    <x v="0"/>
    <x v="38"/>
    <s v="根据SOP规定，HCP火车出行不得提供商务舱坐席，高于上述标准的交通需事前经业务部负责人、合规审计部负责人及 CEO书面批准。"/>
    <s v="请提供"/>
  </r>
  <r>
    <x v="25"/>
    <x v="25"/>
    <s v="MN040601"/>
    <x v="3"/>
    <x v="3"/>
    <x v="6"/>
    <x v="6"/>
    <x v="0"/>
    <x v="39"/>
    <s v="根据SOP规定，会议茶歇不得独立于会议之外提供"/>
    <s v="请解释说明"/>
  </r>
  <r>
    <x v="25"/>
    <x v="25"/>
    <s v="MN040602"/>
    <x v="3"/>
    <x v="3"/>
    <x v="6"/>
    <x v="6"/>
    <x v="1"/>
    <x v="40"/>
    <s v="根据SOP规定，超市、商场或水果市场购买的费用，需要提供明细"/>
    <s v="请提供"/>
  </r>
  <r>
    <x v="25"/>
    <x v="25"/>
    <s v="MN040603"/>
    <x v="3"/>
    <x v="3"/>
    <x v="6"/>
    <x v="6"/>
    <x v="2"/>
    <x v="34"/>
    <s v="根据SOP规定，个人银行卡支付超过300元，需提供付款记录及带有持卡人姓名的个人卡照片或银行对账单"/>
    <s v="请提供"/>
  </r>
  <r>
    <x v="25"/>
    <x v="25"/>
    <s v="MN040604"/>
    <x v="3"/>
    <x v="3"/>
    <x v="6"/>
    <x v="6"/>
    <x v="3"/>
    <x v="35"/>
    <s v="“微信零钱”、&quot;支付宝花呗”及“京东白条”支付，系统付款类型应选择“现金”非“个人卡”，需驳回修改"/>
    <s v="已为您系统驳回，请重新提交完成业务审批流程后@通知审核员"/>
  </r>
  <r>
    <x v="26"/>
    <x v="26"/>
    <s v="MN040701"/>
    <x v="3"/>
    <x v="3"/>
    <x v="7"/>
    <x v="7"/>
    <x v="0"/>
    <x v="34"/>
    <s v="根据SOP规定，个人银行卡支付超过300元，需提供付款记录及带有持卡人姓名的个人卡照片或银行对账单"/>
    <s v="请提供"/>
  </r>
  <r>
    <x v="26"/>
    <x v="26"/>
    <s v="MN040702"/>
    <x v="3"/>
    <x v="3"/>
    <x v="7"/>
    <x v="7"/>
    <x v="1"/>
    <x v="35"/>
    <s v="“微信零钱”、&quot;支付宝花呗”及“京东白条”支付，系统付款类型应选择“现金”非“个人卡”，需驳回修改"/>
    <s v="已为您系统驳回，请重新提交完成业务审批流程后@通知审核员"/>
  </r>
  <r>
    <x v="27"/>
    <x v="27"/>
    <s v="MN040801"/>
    <x v="3"/>
    <x v="3"/>
    <x v="8"/>
    <x v="8"/>
    <x v="0"/>
    <x v="34"/>
    <s v="根据SOP规定，个人银行卡支付超过300元，需提供付款记录及带有持卡人姓名的个人卡照片或银行对账单"/>
    <s v="请提供"/>
  </r>
  <r>
    <x v="27"/>
    <x v="27"/>
    <s v="MN040802"/>
    <x v="3"/>
    <x v="3"/>
    <x v="8"/>
    <x v="8"/>
    <x v="1"/>
    <x v="35"/>
    <s v="“微信零钱”、&quot;支付宝花呗”及“京东白条”支付，系统付款类型应选择“现金”非“个人卡”，需驳回修改"/>
    <s v="已为您系统驳回，请重新提交完成业务审批流程后@通知审核员"/>
  </r>
  <r>
    <x v="28"/>
    <x v="28"/>
    <s v="MN040901"/>
    <x v="3"/>
    <x v="3"/>
    <x v="9"/>
    <x v="9"/>
    <x v="0"/>
    <x v="34"/>
    <s v="根据SOP规定，个人银行卡支付超过300元，需提供付款记录及带有持卡人姓名的个人卡照片或银行对账单"/>
    <s v="请提供"/>
  </r>
  <r>
    <x v="28"/>
    <x v="28"/>
    <s v="MN040902"/>
    <x v="3"/>
    <x v="3"/>
    <x v="9"/>
    <x v="9"/>
    <x v="1"/>
    <x v="35"/>
    <s v="“微信零钱”、&quot;支付宝花呗”及“京东白条”支付，系统付款类型应选择“现金”非“个人卡”，需驳回修改"/>
    <s v="已为您系统驳回，请重新提交完成业务审批流程后@通知审核员"/>
  </r>
  <r>
    <x v="29"/>
    <x v="29"/>
    <s v="MN041001"/>
    <x v="3"/>
    <x v="3"/>
    <x v="10"/>
    <x v="10"/>
    <x v="0"/>
    <x v="41"/>
    <s v="根据SOP规定，提供HCP的住宿费北上广深不得超过1000元/人/晚，其他城市不超过750元/人/晚，海外城市不超过2000元/人/晚，高于上述标准的住宿费需事前获得业务部负责人和合规审计部负责人的书面批准"/>
    <s v="请提供"/>
  </r>
  <r>
    <x v="29"/>
    <x v="29"/>
    <s v="MN041002"/>
    <x v="3"/>
    <x v="3"/>
    <x v="10"/>
    <x v="10"/>
    <x v="1"/>
    <x v="34"/>
    <s v="根据SOP规定，个人银行卡支付超过300元，需提供付款记录及带有持卡人姓名的个人卡照片或银行对账单"/>
    <s v="请提供"/>
  </r>
  <r>
    <x v="29"/>
    <x v="29"/>
    <s v="MN041003"/>
    <x v="3"/>
    <x v="3"/>
    <x v="10"/>
    <x v="10"/>
    <x v="2"/>
    <x v="35"/>
    <s v="“微信零钱”、&quot;支付宝花呗”及“京东白条”支付，系统付款类型应选择“现金”非“个人卡”，需驳回修改"/>
    <s v="已为您系统驳回，请重新提交完成业务审批流程后@通知审核员"/>
  </r>
  <r>
    <x v="30"/>
    <x v="30"/>
    <s v="MN041101"/>
    <x v="3"/>
    <x v="3"/>
    <x v="11"/>
    <x v="11"/>
    <x v="0"/>
    <x v="34"/>
    <s v="根据SOP规定，个人银行卡支付超过300元，需提供付款记录及带有持卡人姓名的个人卡照片或银行对账单"/>
    <s v="请提供"/>
  </r>
  <r>
    <x v="30"/>
    <x v="30"/>
    <s v="MN041102"/>
    <x v="3"/>
    <x v="3"/>
    <x v="11"/>
    <x v="11"/>
    <x v="1"/>
    <x v="35"/>
    <s v="“微信零钱”、&quot;支付宝花呗”及“京东白条”支付，系统付款类型应选择“现金”非“个人卡”，需驳回修改"/>
    <s v="已为您系统驳回，请重新提交完成业务审批流程后@通知审核员"/>
  </r>
  <r>
    <x v="31"/>
    <x v="31"/>
    <s v="MN050201"/>
    <x v="4"/>
    <x v="4"/>
    <x v="2"/>
    <x v="2"/>
    <x v="0"/>
    <x v="30"/>
    <s v="根据SOP规定，会议餐费需提供餐厅门头照"/>
    <s v="请提供"/>
  </r>
  <r>
    <x v="31"/>
    <x v="31"/>
    <s v="MN050202"/>
    <x v="4"/>
    <x v="4"/>
    <x v="2"/>
    <x v="2"/>
    <x v="1"/>
    <x v="31"/>
    <s v="根据SOP规定，会议餐费用餐时间应与会议时间相连，且与正常午餐或晚餐时间相近"/>
    <s v="请解释说明"/>
  </r>
  <r>
    <x v="31"/>
    <x v="31"/>
    <s v="MN050203"/>
    <x v="4"/>
    <x v="4"/>
    <x v="2"/>
    <x v="2"/>
    <x v="2"/>
    <x v="32"/>
    <s v="根据SOP规定，会议餐费，不应超过人均 300 元。如有超过上述标准的特殊情况，需获得部门负责人的审批"/>
    <s v="请提供"/>
  </r>
  <r>
    <x v="31"/>
    <x v="31"/>
    <s v="MN050204"/>
    <x v="4"/>
    <x v="4"/>
    <x v="2"/>
    <x v="2"/>
    <x v="3"/>
    <x v="33"/>
    <s v="根据SOP规定，会议餐费≥300元，需提供水单明细"/>
    <s v="请将水单原件邮寄至我司，并将水单照片或扫描件补充上传至评论区"/>
  </r>
  <r>
    <x v="31"/>
    <x v="31"/>
    <s v="MN050205"/>
    <x v="4"/>
    <x v="4"/>
    <x v="2"/>
    <x v="2"/>
    <x v="4"/>
    <x v="34"/>
    <s v="根据SOP规定，个人银行卡支付超过300元，需提供付款记录及带有持卡人姓名的个人卡照片或银行对账单"/>
    <s v="请提供"/>
  </r>
  <r>
    <x v="31"/>
    <x v="31"/>
    <s v="MN050206"/>
    <x v="4"/>
    <x v="4"/>
    <x v="2"/>
    <x v="2"/>
    <x v="5"/>
    <x v="35"/>
    <s v="“微信零钱”、&quot;支付宝花呗”及“京东白条”支付，系统付款类型应选择“现金”非“个人卡”，需驳回修改"/>
    <s v="已为您系统驳回，请重新提交完成业务审批流程后@通知审核员"/>
  </r>
  <r>
    <x v="32"/>
    <x v="32"/>
    <s v="MN050001"/>
    <x v="4"/>
    <x v="4"/>
    <x v="1"/>
    <x v="1"/>
    <x v="0"/>
    <x v="9"/>
    <s v="根据SOP规定，三方会-支持可举办的组织者岗位为地区业务销售经理及以上、市场和医学，您无权限举办此类型会议"/>
    <s v="请提供逐级审批至部门负责人的授权邮件并抄送合规"/>
  </r>
  <r>
    <x v="32"/>
    <x v="32"/>
    <s v="MN050002"/>
    <x v="4"/>
    <x v="4"/>
    <x v="1"/>
    <x v="1"/>
    <x v="1"/>
    <x v="10"/>
    <s v="学会活动变更会议时间、会议地点需提供企业微信变更流程或变更审批邮件"/>
    <s v="请提供"/>
  </r>
  <r>
    <x v="32"/>
    <x v="32"/>
    <s v="MN050003"/>
    <x v="4"/>
    <x v="4"/>
    <x v="1"/>
    <x v="1"/>
    <x v="2"/>
    <x v="11"/>
    <s v="会议议程内容与系统填报的实际会议情况不一致"/>
    <s v="请确认并提供更新的会议议程"/>
  </r>
  <r>
    <x v="32"/>
    <x v="32"/>
    <s v="MN050004"/>
    <x v="4"/>
    <x v="4"/>
    <x v="1"/>
    <x v="1"/>
    <x v="3"/>
    <x v="12"/>
    <s v="会议议程需包含会议日期、会议开展时间、会议地点、会议内容、演讲主题和演讲人"/>
    <s v="请补充提供"/>
  </r>
  <r>
    <x v="32"/>
    <x v="32"/>
    <s v="MN050005"/>
    <x v="4"/>
    <x v="4"/>
    <x v="1"/>
    <x v="1"/>
    <x v="4"/>
    <x v="17"/>
    <s v="系统实际内外部参会人数与签到表不一致"/>
    <s v="请确认实际内外部参会人数，并解释说明"/>
  </r>
  <r>
    <x v="32"/>
    <x v="32"/>
    <s v="MN050006"/>
    <x v="4"/>
    <x v="4"/>
    <x v="1"/>
    <x v="1"/>
    <x v="5"/>
    <x v="55"/>
    <s v="根据SOP规定，所支持HCP签到为第三方大会签到，需提供大会邀请确认函"/>
    <s v="请提供"/>
  </r>
  <r>
    <x v="32"/>
    <x v="32"/>
    <s v="MN050007"/>
    <x v="4"/>
    <x v="4"/>
    <x v="1"/>
    <x v="1"/>
    <x v="6"/>
    <x v="19"/>
    <s v="根据SOP规定，非第三方大会的线下签到单原件需邮寄至我司"/>
    <s v="请将原件邮寄至我司，邮寄后提供快递单号"/>
  </r>
  <r>
    <x v="32"/>
    <x v="32"/>
    <s v="MN050008"/>
    <x v="4"/>
    <x v="4"/>
    <x v="1"/>
    <x v="1"/>
    <x v="7"/>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32"/>
    <x v="32"/>
    <s v="MN050009"/>
    <x v="4"/>
    <x v="4"/>
    <x v="1"/>
    <x v="1"/>
    <x v="8"/>
    <x v="21"/>
    <s v="根据SOP规定，会议照片需使用水印相机拍摄活动现场照片，并注明活动时间、活动地点、活动主题"/>
    <s v="请补充提供，如不符合要求将不予报销"/>
  </r>
  <r>
    <x v="32"/>
    <x v="32"/>
    <s v="MN050010"/>
    <x v="4"/>
    <x v="4"/>
    <x v="1"/>
    <x v="1"/>
    <x v="9"/>
    <x v="22"/>
    <s v="根据SOP规定，会议照片需体现并反映会议主题（如PPT标题、横幅、易拉宝等），且照片中的会议主题需清洗"/>
    <s v="请补充提供，如不符合要求将不予报销"/>
  </r>
  <r>
    <x v="32"/>
    <x v="32"/>
    <s v="MN050011"/>
    <x v="4"/>
    <x v="4"/>
    <x v="1"/>
    <x v="1"/>
    <x v="10"/>
    <x v="56"/>
    <s v="根据SOP规定，会议照片应显示所支持HCP"/>
    <s v="请补充提供，如不符合要求将不予报销"/>
  </r>
  <r>
    <x v="32"/>
    <x v="32"/>
    <s v="MN050012"/>
    <x v="4"/>
    <x v="4"/>
    <x v="1"/>
    <x v="1"/>
    <x v="11"/>
    <x v="24"/>
    <s v="根据SOP规定，会议照片水印所反映拍摄时间与会议议程相一致"/>
    <s v="请补充提供，如不符合要求将不予报销"/>
  </r>
  <r>
    <x v="32"/>
    <x v="32"/>
    <s v="MN050013"/>
    <x v="4"/>
    <x v="4"/>
    <x v="1"/>
    <x v="1"/>
    <x v="12"/>
    <x v="26"/>
    <s v="根据SOP规定，三方会-支持内部参会者不可少于1人（包含会议组织者）"/>
    <s v="请确认实际内部参会人数"/>
  </r>
  <r>
    <x v="32"/>
    <x v="32"/>
    <s v="MN050014"/>
    <x v="4"/>
    <x v="4"/>
    <x v="1"/>
    <x v="1"/>
    <x v="13"/>
    <x v="28"/>
    <s v="根据SOP规定，原则上公司仅承担学术活动会议议程前后24小时内所产生的相关费用，例外事项需提供部门负责人及合规审计总监的共同批准"/>
    <s v="如需报销请提供特批"/>
  </r>
  <r>
    <x v="32"/>
    <x v="32"/>
    <s v="MN050015"/>
    <x v="4"/>
    <x v="4"/>
    <x v="1"/>
    <x v="1"/>
    <x v="14"/>
    <x v="29"/>
    <s v="根据SOP规定，学术论坛可报销费用有餐饮、住宿费和交通费"/>
    <s v="额外费用不予报销已为您扣除"/>
  </r>
  <r>
    <x v="33"/>
    <x v="33"/>
    <s v="MN050301"/>
    <x v="4"/>
    <x v="4"/>
    <x v="3"/>
    <x v="3"/>
    <x v="0"/>
    <x v="36"/>
    <s v="根据SOP规定，HCP乘坐飞机，需选择经济舱，单程飞行时间超出8小时可提供商务舱。高于上述标准的交通需事前经业务部负责人、合规审计部负责人及 CEO书面批准。"/>
    <s v="请提供"/>
  </r>
  <r>
    <x v="34"/>
    <x v="34"/>
    <s v="MN050401"/>
    <x v="4"/>
    <x v="4"/>
    <x v="4"/>
    <x v="4"/>
    <x v="0"/>
    <x v="37"/>
    <s v="根据SOP规定，租车费用，提供详细行程单，包含：日期、接送人具体时间、客人姓名/电话、行程起点详细地址、送达详细地址、车型、金额等信息"/>
    <s v="请补充提供"/>
  </r>
  <r>
    <x v="34"/>
    <x v="34"/>
    <s v="MN050402"/>
    <x v="4"/>
    <x v="4"/>
    <x v="4"/>
    <x v="4"/>
    <x v="1"/>
    <x v="34"/>
    <s v="根据SOP规定，个人银行卡支付超过300元，需提供付款记录及带有持卡人姓名的个人卡照片或银行对账单"/>
    <s v="请提供"/>
  </r>
  <r>
    <x v="34"/>
    <x v="34"/>
    <s v="MN050403"/>
    <x v="4"/>
    <x v="4"/>
    <x v="4"/>
    <x v="4"/>
    <x v="2"/>
    <x v="35"/>
    <s v="“微信零钱”、&quot;支付宝花呗”及“京东白条”支付，系统付款类型应选择“现金”非“个人卡”，需驳回修改"/>
    <s v="已为您系统驳回，请重新提交完成业务审批流程后@通知审核员"/>
  </r>
  <r>
    <x v="35"/>
    <x v="35"/>
    <s v="MN050501"/>
    <x v="4"/>
    <x v="4"/>
    <x v="5"/>
    <x v="5"/>
    <x v="0"/>
    <x v="38"/>
    <s v="根据SOP规定，HCP火车出行不得提供商务舱坐席，高于上述标准的交通需事前经业务部负责人、合规审计部负责人及 CEO书面批准。"/>
    <s v="请提供"/>
  </r>
  <r>
    <x v="36"/>
    <x v="36"/>
    <s v="MN050601"/>
    <x v="4"/>
    <x v="4"/>
    <x v="6"/>
    <x v="6"/>
    <x v="0"/>
    <x v="39"/>
    <s v="根据SOP规定，会议茶歇不得独立于会议之外提供"/>
    <s v="请解释说明"/>
  </r>
  <r>
    <x v="36"/>
    <x v="36"/>
    <s v="MN050602"/>
    <x v="4"/>
    <x v="4"/>
    <x v="6"/>
    <x v="6"/>
    <x v="1"/>
    <x v="40"/>
    <s v="根据SOP规定，超市、商场或水果市场购买的费用，需要提供明细"/>
    <s v="请提供"/>
  </r>
  <r>
    <x v="36"/>
    <x v="36"/>
    <s v="MN050603"/>
    <x v="4"/>
    <x v="4"/>
    <x v="6"/>
    <x v="6"/>
    <x v="2"/>
    <x v="34"/>
    <s v="根据SOP规定，个人银行卡支付超过300元，需提供付款记录及带有持卡人姓名的个人卡照片或银行对账单"/>
    <s v="请提供"/>
  </r>
  <r>
    <x v="36"/>
    <x v="36"/>
    <s v="MN050604"/>
    <x v="4"/>
    <x v="4"/>
    <x v="6"/>
    <x v="6"/>
    <x v="3"/>
    <x v="35"/>
    <s v="“微信零钱”、&quot;支付宝花呗”及“京东白条”支付，系统付款类型应选择“现金”非“个人卡”，需驳回修改"/>
    <s v="已为您系统驳回，请重新提交完成业务审批流程后@通知审核员"/>
  </r>
  <r>
    <x v="37"/>
    <x v="37"/>
    <s v="MN050701"/>
    <x v="4"/>
    <x v="4"/>
    <x v="7"/>
    <x v="7"/>
    <x v="0"/>
    <x v="34"/>
    <s v="根据SOP规定，个人银行卡支付超过300元，需提供付款记录及带有持卡人姓名的个人卡照片或银行对账单"/>
    <s v="请提供"/>
  </r>
  <r>
    <x v="37"/>
    <x v="37"/>
    <s v="MN050702"/>
    <x v="4"/>
    <x v="4"/>
    <x v="7"/>
    <x v="7"/>
    <x v="1"/>
    <x v="35"/>
    <s v="“微信零钱”、&quot;支付宝花呗”及“京东白条”支付，系统付款类型应选择“现金”非“个人卡”，需驳回修改"/>
    <s v="已为您系统驳回，请重新提交完成业务审批流程后@通知审核员"/>
  </r>
  <r>
    <x v="38"/>
    <x v="38"/>
    <s v="MN050801"/>
    <x v="4"/>
    <x v="4"/>
    <x v="8"/>
    <x v="8"/>
    <x v="0"/>
    <x v="34"/>
    <s v="根据SOP规定，个人银行卡支付超过300元，需提供付款记录及带有持卡人姓名的个人卡照片或银行对账单"/>
    <s v="请提供"/>
  </r>
  <r>
    <x v="38"/>
    <x v="38"/>
    <s v="MN050802"/>
    <x v="4"/>
    <x v="4"/>
    <x v="8"/>
    <x v="8"/>
    <x v="1"/>
    <x v="35"/>
    <s v="“微信零钱”、&quot;支付宝花呗”及“京东白条”支付，系统付款类型应选择“现金”非“个人卡”，需驳回修改"/>
    <s v="已为您系统驳回，请重新提交完成业务审批流程后@通知审核员"/>
  </r>
  <r>
    <x v="39"/>
    <x v="39"/>
    <s v="MN050901"/>
    <x v="4"/>
    <x v="4"/>
    <x v="9"/>
    <x v="9"/>
    <x v="0"/>
    <x v="34"/>
    <s v="根据SOP规定，个人银行卡支付超过300元，需提供付款记录及带有持卡人姓名的个人卡照片或银行对账单"/>
    <s v="请提供"/>
  </r>
  <r>
    <x v="39"/>
    <x v="39"/>
    <s v="MN050902"/>
    <x v="4"/>
    <x v="4"/>
    <x v="9"/>
    <x v="9"/>
    <x v="1"/>
    <x v="35"/>
    <s v="“微信零钱”、&quot;支付宝花呗”及“京东白条”支付，系统付款类型应选择“现金”非“个人卡”，需驳回修改"/>
    <s v="已为您系统驳回，请重新提交完成业务审批流程后@通知审核员"/>
  </r>
  <r>
    <x v="40"/>
    <x v="40"/>
    <s v="MN051001"/>
    <x v="4"/>
    <x v="4"/>
    <x v="10"/>
    <x v="10"/>
    <x v="0"/>
    <x v="41"/>
    <s v="根据SOP规定，提供HCP的住宿费北上广深不得超过1000元/人/晚，其他城市不超过750元/人/晚，海外城市不超过2000元/人/晚，高于上述标准的住宿费需事前获得业务部负责人和合规审计部负责人的书面批准"/>
    <s v="请提供"/>
  </r>
  <r>
    <x v="40"/>
    <x v="40"/>
    <s v="MN051002"/>
    <x v="4"/>
    <x v="4"/>
    <x v="10"/>
    <x v="10"/>
    <x v="1"/>
    <x v="34"/>
    <s v="根据SOP规定，个人银行卡支付超过300元，需提供付款记录及带有持卡人姓名的个人卡照片或银行对账单"/>
    <s v="请提供"/>
  </r>
  <r>
    <x v="40"/>
    <x v="40"/>
    <s v="MN051003"/>
    <x v="4"/>
    <x v="4"/>
    <x v="10"/>
    <x v="10"/>
    <x v="2"/>
    <x v="35"/>
    <s v="“微信零钱”、&quot;支付宝花呗”及“京东白条”支付，系统付款类型应选择“现金”非“个人卡”，需驳回修改"/>
    <s v="已为您系统驳回，请重新提交完成业务审批流程后@通知审核员"/>
  </r>
  <r>
    <x v="41"/>
    <x v="41"/>
    <s v="MN051101"/>
    <x v="4"/>
    <x v="4"/>
    <x v="11"/>
    <x v="11"/>
    <x v="0"/>
    <x v="34"/>
    <s v="根据SOP规定，个人银行卡支付超过300元，需提供付款记录及带有持卡人姓名的个人卡照片或银行对账单"/>
    <s v="请提供"/>
  </r>
  <r>
    <x v="41"/>
    <x v="41"/>
    <s v="MN051102"/>
    <x v="4"/>
    <x v="4"/>
    <x v="11"/>
    <x v="11"/>
    <x v="1"/>
    <x v="35"/>
    <s v="“微信零钱”、&quot;支付宝花呗”及“京东白条”支付，系统付款类型应选择“现金”非“个人卡”，需驳回修改"/>
    <s v="已为您系统驳回，请重新提交完成业务审批流程后@通知审核员"/>
  </r>
  <r>
    <x v="42"/>
    <x v="42"/>
    <s v="MN060101"/>
    <x v="5"/>
    <x v="5"/>
    <x v="0"/>
    <x v="0"/>
    <x v="0"/>
    <x v="0"/>
    <s v="根据SOP规定，报销讲课费的讲者必须是讲者库中的讲者，且不能在会议结束后特批补入库"/>
    <s v="不符合要求不予支付讲课费"/>
  </r>
  <r>
    <x v="42"/>
    <x v="42"/>
    <s v="MN060102"/>
    <x v="5"/>
    <x v="5"/>
    <x v="0"/>
    <x v="0"/>
    <x v="1"/>
    <x v="1"/>
    <s v="根据SOP规定，业务约定书需完整正确的填写，并由HCP签字后将完整原件邮寄至我司"/>
    <s v="请提供"/>
  </r>
  <r>
    <x v="42"/>
    <x v="42"/>
    <s v="MN060103"/>
    <x v="5"/>
    <x v="5"/>
    <x v="0"/>
    <x v="0"/>
    <x v="2"/>
    <x v="2"/>
    <s v="根据SOP规定，培训会讲者人数与参会人数比例比低于1:5"/>
    <s v="请确认，并告知需扣除讲课费的HCP姓名"/>
  </r>
  <r>
    <x v="42"/>
    <x v="42"/>
    <s v="MN060105"/>
    <x v="5"/>
    <x v="5"/>
    <x v="0"/>
    <x v="0"/>
    <x v="4"/>
    <x v="4"/>
    <s v="根据SOP规定，支付讲课费的专家需全程参会，并签到"/>
    <s v="请补充提供签到，不符合要求不予支付讲课费"/>
  </r>
  <r>
    <x v="42"/>
    <x v="42"/>
    <s v="MN060106"/>
    <x v="5"/>
    <x v="5"/>
    <x v="0"/>
    <x v="0"/>
    <x v="5"/>
    <x v="5"/>
    <s v="根据SOP规定，培训会若采取老师授课形式，则演讲时间不少于20分钟"/>
    <s v="不符合要求不予支付讲课费"/>
  </r>
  <r>
    <x v="42"/>
    <x v="42"/>
    <s v="MN060107"/>
    <x v="5"/>
    <x v="5"/>
    <x v="0"/>
    <x v="0"/>
    <x v="6"/>
    <x v="6"/>
    <s v="根据SOP规定，培训会若采取点评、指导或辅导形式，老师累计点评时间不得少于10分钟"/>
    <s v="不符合要求不予支付讲课费"/>
  </r>
  <r>
    <x v="42"/>
    <x v="42"/>
    <s v="MN060108"/>
    <x v="5"/>
    <x v="5"/>
    <x v="0"/>
    <x v="0"/>
    <x v="7"/>
    <x v="57"/>
    <s v="根据SOP规定，培训会若采取点评、指导或辅导形式，讲课费支付标准为80%*职级标准"/>
    <s v="将为您扣除差额"/>
  </r>
  <r>
    <x v="42"/>
    <x v="42"/>
    <s v="MN060109"/>
    <x v="5"/>
    <x v="5"/>
    <x v="0"/>
    <x v="0"/>
    <x v="8"/>
    <x v="58"/>
    <s v="根据SOP规定，培训会点评专家限全国级和区域级HCP"/>
    <s v="不符合要求不予支付讲课费"/>
  </r>
  <r>
    <x v="43"/>
    <x v="43"/>
    <s v="MN060001"/>
    <x v="5"/>
    <x v="5"/>
    <x v="1"/>
    <x v="1"/>
    <x v="0"/>
    <x v="9"/>
    <s v="根据SOP规定，培训会可举办的组织者岗位为市场部经理及以上级别和大区业务销售经理及以上，您无权限举办此类型会议"/>
    <s v="请提供逐级审批至部门负责人的授权邮件并抄送合规"/>
  </r>
  <r>
    <x v="43"/>
    <x v="43"/>
    <s v="MN060002"/>
    <x v="5"/>
    <x v="5"/>
    <x v="1"/>
    <x v="1"/>
    <x v="1"/>
    <x v="10"/>
    <s v="学会活动变更会议时间、会议地点需提供企业微信变更流程或变更审批邮件"/>
    <s v="请提供"/>
  </r>
  <r>
    <x v="43"/>
    <x v="43"/>
    <s v="MN060003"/>
    <x v="5"/>
    <x v="5"/>
    <x v="1"/>
    <x v="1"/>
    <x v="2"/>
    <x v="11"/>
    <s v="会议议程内容与系统填报的实际会议情况不一致"/>
    <s v="请确认并提供更新的会议议程"/>
  </r>
  <r>
    <x v="43"/>
    <x v="43"/>
    <s v="MN060004"/>
    <x v="5"/>
    <x v="5"/>
    <x v="1"/>
    <x v="1"/>
    <x v="3"/>
    <x v="12"/>
    <s v="会议议程需包含会议日期、会议开展时间、会议地点、会议内容、演讲主题和演讲人"/>
    <s v="请补充提供"/>
  </r>
  <r>
    <x v="43"/>
    <x v="43"/>
    <s v="MN060005"/>
    <x v="5"/>
    <x v="5"/>
    <x v="1"/>
    <x v="1"/>
    <x v="4"/>
    <x v="13"/>
    <s v="根据SOP规定，培训会会议时长需≥ 半天（2-4H）"/>
    <s v="请确认"/>
  </r>
  <r>
    <x v="43"/>
    <x v="43"/>
    <s v="MN060006"/>
    <x v="5"/>
    <x v="5"/>
    <x v="1"/>
    <x v="1"/>
    <x v="5"/>
    <x v="15"/>
    <s v="根据SOP规定，禁止在景区名胜或铺张奢侈的地点举办或参加会议"/>
    <s v="不符合要求不予报销"/>
  </r>
  <r>
    <x v="43"/>
    <x v="43"/>
    <s v="MN060007"/>
    <x v="5"/>
    <x v="5"/>
    <x v="1"/>
    <x v="1"/>
    <x v="6"/>
    <x v="16"/>
    <s v="根据SOP规定，禁止在水疗会所、温泉、度假、滑雪、高尔夫、赌博、邮轮、洗浴中心、KTV娱乐及以以上为主业的场所举办学术活动或进行业务招待活动"/>
    <s v="不符合要求不予报销"/>
  </r>
  <r>
    <x v="43"/>
    <x v="43"/>
    <s v="MN060008"/>
    <x v="5"/>
    <x v="5"/>
    <x v="1"/>
    <x v="1"/>
    <x v="7"/>
    <x v="17"/>
    <s v="系统实际内外部参会人数与签到表不一致"/>
    <s v="请确认实际内外部参会人数，并解释说明"/>
  </r>
  <r>
    <x v="43"/>
    <x v="43"/>
    <s v="MN060009"/>
    <x v="5"/>
    <x v="5"/>
    <x v="1"/>
    <x v="1"/>
    <x v="8"/>
    <x v="18"/>
    <s v="根据SOP规定，整场会议未使用电子签到单需提供逐级审批至部门负责人的审批邮件"/>
    <s v="请提供"/>
  </r>
  <r>
    <x v="43"/>
    <x v="43"/>
    <s v="MN060010"/>
    <x v="5"/>
    <x v="5"/>
    <x v="1"/>
    <x v="1"/>
    <x v="9"/>
    <x v="19"/>
    <s v="根据SOP规定，线下签到单原件需邮寄至我司"/>
    <s v="请将原件邮寄至我司，邮寄后提供快递单号"/>
  </r>
  <r>
    <x v="43"/>
    <x v="43"/>
    <s v="MN060011"/>
    <x v="5"/>
    <x v="5"/>
    <x v="1"/>
    <x v="1"/>
    <x v="10"/>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43"/>
    <x v="43"/>
    <s v="MN060012"/>
    <x v="5"/>
    <x v="5"/>
    <x v="1"/>
    <x v="1"/>
    <x v="11"/>
    <x v="21"/>
    <s v="根据SOP规定，会议照片需使用水印相机拍摄活动现场照片，并注明活动时间、活动地点、活动主题"/>
    <s v="请补充提供，如不符合要求将不予报销"/>
  </r>
  <r>
    <x v="43"/>
    <x v="43"/>
    <s v="MN060013"/>
    <x v="5"/>
    <x v="5"/>
    <x v="1"/>
    <x v="1"/>
    <x v="12"/>
    <x v="22"/>
    <s v="根据SOP规定，会议照片需体现并反映会议主题（如PPT标题、横幅、易拉宝等），且照片中的会议主题需清洗"/>
    <s v="请补充提供，如不符合要求将不予报销"/>
  </r>
  <r>
    <x v="43"/>
    <x v="43"/>
    <s v="MN060014"/>
    <x v="5"/>
    <x v="5"/>
    <x v="1"/>
    <x v="1"/>
    <x v="13"/>
    <x v="23"/>
    <s v="根据SOP规定，付费讲者需提供正面清晰演讲照片，照片应体现付费讲者和一张会议幻灯稿同框的场景，要求可识别付费讲者并能体现所参加会议"/>
    <s v="请补充提供，如不符合要求将不予报销"/>
  </r>
  <r>
    <x v="43"/>
    <x v="43"/>
    <s v="MN060015"/>
    <x v="5"/>
    <x v="5"/>
    <x v="1"/>
    <x v="1"/>
    <x v="14"/>
    <x v="24"/>
    <s v="根据SOP规定，会议照片水印所反映拍摄时间与会议议程相一致"/>
    <s v="请补充提供，如不符合要求将不予报销"/>
  </r>
  <r>
    <x v="43"/>
    <x v="43"/>
    <s v="MN060016"/>
    <x v="5"/>
    <x v="5"/>
    <x v="1"/>
    <x v="1"/>
    <x v="15"/>
    <x v="25"/>
    <s v="根据SOP规定，培训会会议照片需显示50%及以上参会人员（内+外）"/>
    <s v="请补充提供，如不符合要求将不予报销"/>
  </r>
  <r>
    <x v="43"/>
    <x v="43"/>
    <s v="MN060017"/>
    <x v="5"/>
    <x v="5"/>
    <x v="1"/>
    <x v="1"/>
    <x v="16"/>
    <x v="26"/>
    <s v="根据SOP规定，培训会内部参与培训人员不得低于5人"/>
    <s v="请确认实际内部参会人数"/>
  </r>
  <r>
    <x v="43"/>
    <x v="43"/>
    <s v="MN060018"/>
    <x v="5"/>
    <x v="5"/>
    <x v="1"/>
    <x v="1"/>
    <x v="17"/>
    <x v="28"/>
    <s v="根据SOP规定，原则上公司仅承担学术活动会议议程前后24小时内所产生的相关费用，例外事项需提供部门负责人及合规审计总监的共同批准"/>
    <s v="如需报销请提供特批"/>
  </r>
  <r>
    <x v="43"/>
    <x v="43"/>
    <s v="MN060019"/>
    <x v="5"/>
    <x v="5"/>
    <x v="1"/>
    <x v="1"/>
    <x v="18"/>
    <x v="29"/>
    <s v="根据SOP规定，培训会可报销费用有讲课费、餐饮、住宿费、场租和交通费"/>
    <s v="额外费用不予报销已为您扣除"/>
  </r>
  <r>
    <x v="44"/>
    <x v="44"/>
    <s v="MN060201"/>
    <x v="5"/>
    <x v="5"/>
    <x v="2"/>
    <x v="2"/>
    <x v="0"/>
    <x v="30"/>
    <s v="根据SOP规定，会议餐费需提供餐厅门头照"/>
    <s v="请提供"/>
  </r>
  <r>
    <x v="44"/>
    <x v="44"/>
    <s v="MN060202"/>
    <x v="5"/>
    <x v="5"/>
    <x v="2"/>
    <x v="2"/>
    <x v="1"/>
    <x v="31"/>
    <s v="根据SOP规定，会议餐费用餐时间应与会议时间相连，且与正常午餐或晚餐时间相近"/>
    <s v="请解释说明"/>
  </r>
  <r>
    <x v="44"/>
    <x v="44"/>
    <s v="MN060203"/>
    <x v="5"/>
    <x v="5"/>
    <x v="2"/>
    <x v="2"/>
    <x v="2"/>
    <x v="32"/>
    <s v="根据SOP规定，会议餐费，不应超过人均 300 元。如有超过上述标准的特殊情况，需获得部门负责人的审批"/>
    <s v="请提供"/>
  </r>
  <r>
    <x v="44"/>
    <x v="44"/>
    <s v="MN060204"/>
    <x v="5"/>
    <x v="5"/>
    <x v="2"/>
    <x v="2"/>
    <x v="3"/>
    <x v="33"/>
    <s v="根据SOP规定，会议餐费≥300元，需提供水单明细"/>
    <s v="请将水单原件邮寄至我司，并将水单照片或扫描件补充上传至评论区"/>
  </r>
  <r>
    <x v="44"/>
    <x v="44"/>
    <s v="MN060205"/>
    <x v="5"/>
    <x v="5"/>
    <x v="2"/>
    <x v="2"/>
    <x v="4"/>
    <x v="34"/>
    <s v="根据SOP规定，个人银行卡支付超过300元，需提供付款记录及带有持卡人姓名的个人卡照片或银行对账单"/>
    <s v="请提供"/>
  </r>
  <r>
    <x v="44"/>
    <x v="44"/>
    <s v="MN060206"/>
    <x v="5"/>
    <x v="5"/>
    <x v="2"/>
    <x v="2"/>
    <x v="5"/>
    <x v="35"/>
    <s v="“微信零钱”、&quot;支付宝花呗”及“京东白条”支付，系统付款类型应选择“现金”非“个人卡”，需驳回修改"/>
    <s v="已为您系统驳回，请重新提交完成业务审批流程后@通知审核员"/>
  </r>
  <r>
    <x v="45"/>
    <x v="45"/>
    <s v="MN060301"/>
    <x v="5"/>
    <x v="5"/>
    <x v="3"/>
    <x v="3"/>
    <x v="0"/>
    <x v="36"/>
    <s v="根据SOP规定，HCP乘坐飞机，需选择经济舱，单程飞行时间超出8小时可提供商务舱。高于上述标准的交通需事前经业务部负责人、合规审计部负责人及 CEO书面批准。"/>
    <s v="请提供"/>
  </r>
  <r>
    <x v="46"/>
    <x v="46"/>
    <s v="MN060401"/>
    <x v="5"/>
    <x v="5"/>
    <x v="4"/>
    <x v="4"/>
    <x v="0"/>
    <x v="37"/>
    <s v="根据SOP规定，租车费用，提供详细行程单，包含：日期、接送人具体时间、客人姓名/电话、行程起点详细地址、送达详细地址、车型、金额等信息"/>
    <s v="请补充提供"/>
  </r>
  <r>
    <x v="46"/>
    <x v="46"/>
    <s v="MN060402"/>
    <x v="5"/>
    <x v="5"/>
    <x v="4"/>
    <x v="4"/>
    <x v="1"/>
    <x v="34"/>
    <s v="根据SOP规定，个人银行卡支付超过300元，需提供付款记录及带有持卡人姓名的个人卡照片或银行对账单"/>
    <s v="请提供"/>
  </r>
  <r>
    <x v="46"/>
    <x v="46"/>
    <s v="MN060403"/>
    <x v="5"/>
    <x v="5"/>
    <x v="4"/>
    <x v="4"/>
    <x v="2"/>
    <x v="35"/>
    <s v="“微信零钱”、&quot;支付宝花呗”及“京东白条”支付，系统付款类型应选择“现金”非“个人卡”，需驳回修改"/>
    <s v="已为您系统驳回，请重新提交完成业务审批流程后@通知审核员"/>
  </r>
  <r>
    <x v="47"/>
    <x v="47"/>
    <s v="MN060501"/>
    <x v="5"/>
    <x v="5"/>
    <x v="5"/>
    <x v="5"/>
    <x v="0"/>
    <x v="38"/>
    <s v="根据SOP规定，HCP火车出行不得提供商务舱坐席，高于上述标准的交通需事前经业务部负责人、合规审计部负责人及 CEO书面批准。"/>
    <s v="请提供"/>
  </r>
  <r>
    <x v="48"/>
    <x v="48"/>
    <s v="MN060601"/>
    <x v="5"/>
    <x v="5"/>
    <x v="6"/>
    <x v="6"/>
    <x v="0"/>
    <x v="39"/>
    <s v="根据SOP规定，会议茶歇不得独立于会议之外提供"/>
    <s v="请解释说明"/>
  </r>
  <r>
    <x v="48"/>
    <x v="48"/>
    <s v="MN060602"/>
    <x v="5"/>
    <x v="5"/>
    <x v="6"/>
    <x v="6"/>
    <x v="1"/>
    <x v="40"/>
    <s v="根据SOP规定，超市、商场或水果市场购买的费用，需要提供明细"/>
    <s v="请提供"/>
  </r>
  <r>
    <x v="48"/>
    <x v="48"/>
    <s v="MN060603"/>
    <x v="5"/>
    <x v="5"/>
    <x v="6"/>
    <x v="6"/>
    <x v="2"/>
    <x v="34"/>
    <s v="根据SOP规定，个人银行卡支付超过300元，需提供付款记录及带有持卡人姓名的个人卡照片或银行对账单"/>
    <s v="请提供"/>
  </r>
  <r>
    <x v="48"/>
    <x v="48"/>
    <s v="MN060604"/>
    <x v="5"/>
    <x v="5"/>
    <x v="6"/>
    <x v="6"/>
    <x v="3"/>
    <x v="35"/>
    <s v="“微信零钱”、&quot;支付宝花呗”及“京东白条”支付，系统付款类型应选择“现金”非“个人卡”，需驳回修改"/>
    <s v="已为您系统驳回，请重新提交完成业务审批流程后@通知审核员"/>
  </r>
  <r>
    <x v="49"/>
    <x v="49"/>
    <s v="MN060701"/>
    <x v="5"/>
    <x v="5"/>
    <x v="7"/>
    <x v="7"/>
    <x v="0"/>
    <x v="34"/>
    <s v="根据SOP规定，个人银行卡支付超过300元，需提供付款记录及带有持卡人姓名的个人卡照片或银行对账单"/>
    <s v="请提供"/>
  </r>
  <r>
    <x v="49"/>
    <x v="49"/>
    <s v="MN060702"/>
    <x v="5"/>
    <x v="5"/>
    <x v="7"/>
    <x v="7"/>
    <x v="1"/>
    <x v="35"/>
    <s v="“微信零钱”、&quot;支付宝花呗”及“京东白条”支付，系统付款类型应选择“现金”非“个人卡”，需驳回修改"/>
    <s v="已为您系统驳回，请重新提交完成业务审批流程后@通知审核员"/>
  </r>
  <r>
    <x v="50"/>
    <x v="50"/>
    <s v="MN060801"/>
    <x v="5"/>
    <x v="5"/>
    <x v="8"/>
    <x v="8"/>
    <x v="0"/>
    <x v="34"/>
    <s v="根据SOP规定，个人银行卡支付超过300元，需提供付款记录及带有持卡人姓名的个人卡照片或银行对账单"/>
    <s v="请提供"/>
  </r>
  <r>
    <x v="50"/>
    <x v="50"/>
    <s v="MN060802"/>
    <x v="5"/>
    <x v="5"/>
    <x v="8"/>
    <x v="8"/>
    <x v="1"/>
    <x v="35"/>
    <s v="“微信零钱”、&quot;支付宝花呗”及“京东白条”支付，系统付款类型应选择“现金”非“个人卡”，需驳回修改"/>
    <s v="已为您系统驳回，请重新提交完成业务审批流程后@通知审核员"/>
  </r>
  <r>
    <x v="51"/>
    <x v="51"/>
    <s v="MN061001"/>
    <x v="5"/>
    <x v="5"/>
    <x v="10"/>
    <x v="10"/>
    <x v="0"/>
    <x v="41"/>
    <s v="根据SOP规定，提供HCP的住宿费北上广深不得超过1000元/人/晚，其他城市不超过750元/人/晚，海外城市不超过2000元/人/晚，高于上述标准的住宿费需事前获得业务部负责人和合规审计部负责人的书面批准"/>
    <s v="请提供"/>
  </r>
  <r>
    <x v="51"/>
    <x v="51"/>
    <s v="MN061002"/>
    <x v="5"/>
    <x v="5"/>
    <x v="10"/>
    <x v="10"/>
    <x v="1"/>
    <x v="34"/>
    <s v="根据SOP规定，个人银行卡支付超过300元，需提供付款记录及带有持卡人姓名的个人卡照片或银行对账单"/>
    <s v="请提供"/>
  </r>
  <r>
    <x v="51"/>
    <x v="51"/>
    <s v="MN061003"/>
    <x v="5"/>
    <x v="5"/>
    <x v="10"/>
    <x v="10"/>
    <x v="2"/>
    <x v="35"/>
    <s v="“微信零钱”、&quot;支付宝花呗”及“京东白条”支付，系统付款类型应选择“现金”非“个人卡”，需驳回修改"/>
    <s v="已为您系统驳回，请重新提交完成业务审批流程后@通知审核员"/>
  </r>
  <r>
    <x v="52"/>
    <x v="52"/>
    <s v="MN061101"/>
    <x v="5"/>
    <x v="5"/>
    <x v="11"/>
    <x v="11"/>
    <x v="0"/>
    <x v="34"/>
    <s v="根据SOP规定，个人银行卡支付超过300元，需提供付款记录及带有持卡人姓名的个人卡照片或银行对账单"/>
    <s v="请提供"/>
  </r>
  <r>
    <x v="52"/>
    <x v="52"/>
    <s v="MN061102"/>
    <x v="5"/>
    <x v="5"/>
    <x v="11"/>
    <x v="11"/>
    <x v="1"/>
    <x v="35"/>
    <s v="“微信零钱”、&quot;支付宝花呗”及“京东白条”支付，系统付款类型应选择“现金”非“个人卡”，需驳回修改"/>
    <s v="已为您系统驳回，请重新提交完成业务审批流程后@通知审核员"/>
  </r>
  <r>
    <x v="53"/>
    <x v="53"/>
    <s v="MN070201"/>
    <x v="6"/>
    <x v="6"/>
    <x v="2"/>
    <x v="2"/>
    <x v="0"/>
    <x v="30"/>
    <s v="根据SOP规定，会议餐费需提供餐厅门头照"/>
    <s v="请提供"/>
  </r>
  <r>
    <x v="53"/>
    <x v="53"/>
    <s v="MN070202"/>
    <x v="6"/>
    <x v="6"/>
    <x v="2"/>
    <x v="2"/>
    <x v="1"/>
    <x v="31"/>
    <s v="根据SOP规定，会议餐费用餐时间应与会议时间相连，且为工作餐或小食性质"/>
    <s v="请解释说明"/>
  </r>
  <r>
    <x v="53"/>
    <x v="53"/>
    <s v="MN070203"/>
    <x v="6"/>
    <x v="6"/>
    <x v="2"/>
    <x v="2"/>
    <x v="2"/>
    <x v="32"/>
    <s v="根据SOP规定，会议餐费，不应超过人均200 元。如有超过上述标准的特殊情况，需获得部门负责人的审批"/>
    <s v="请提供"/>
  </r>
  <r>
    <x v="53"/>
    <x v="53"/>
    <s v="MN070204"/>
    <x v="6"/>
    <x v="6"/>
    <x v="2"/>
    <x v="2"/>
    <x v="3"/>
    <x v="33"/>
    <s v="根据SOP规定，会议餐费≥300元，需提供水单明细"/>
    <s v="请将水单原件邮寄至我司，并将水单照片或扫描件补充上传至评论区"/>
  </r>
  <r>
    <x v="53"/>
    <x v="53"/>
    <s v="MN070205"/>
    <x v="6"/>
    <x v="6"/>
    <x v="2"/>
    <x v="2"/>
    <x v="4"/>
    <x v="34"/>
    <s v="根据SOP规定，个人银行卡支付超过300元，需提供付款记录及带有持卡人姓名的个人卡照片或银行对账单"/>
    <s v="请提供"/>
  </r>
  <r>
    <x v="53"/>
    <x v="53"/>
    <s v="MN070206"/>
    <x v="6"/>
    <x v="6"/>
    <x v="2"/>
    <x v="2"/>
    <x v="5"/>
    <x v="35"/>
    <s v="“微信零钱”、&quot;支付宝花呗”及“京东白条”支付，系统付款类型应选择“现金”非“个人卡”，需驳回修改"/>
    <s v="已为您系统驳回，请重新提交完成业务审批流程后@通知审核员"/>
  </r>
  <r>
    <x v="54"/>
    <x v="54"/>
    <s v="MN070001"/>
    <x v="6"/>
    <x v="6"/>
    <x v="1"/>
    <x v="1"/>
    <x v="0"/>
    <x v="9"/>
    <s v="根据SOP规定，临床研究-临床研究启动会可举办的组织者岗位为临床研究专员、医学副经理及以上人员，您无权限举办此类型会议"/>
    <s v="请提供逐级审批至部门负责人的授权邮件并抄送合规"/>
  </r>
  <r>
    <x v="54"/>
    <x v="54"/>
    <s v="MN070002"/>
    <x v="6"/>
    <x v="6"/>
    <x v="1"/>
    <x v="1"/>
    <x v="1"/>
    <x v="10"/>
    <s v="学会活动变更会议时间、会议地点需提供企业微信变更流程或变更审批邮件"/>
    <s v="请提供"/>
  </r>
  <r>
    <x v="54"/>
    <x v="54"/>
    <s v="MN070003"/>
    <x v="6"/>
    <x v="6"/>
    <x v="1"/>
    <x v="1"/>
    <x v="2"/>
    <x v="11"/>
    <s v="会议议程内容与系统填报的实际会议情况不一致"/>
    <s v="请确认并提供更新的会议议程"/>
  </r>
  <r>
    <x v="54"/>
    <x v="54"/>
    <s v="MN070004"/>
    <x v="6"/>
    <x v="6"/>
    <x v="1"/>
    <x v="1"/>
    <x v="3"/>
    <x v="12"/>
    <s v="会议议程需包含会议日期、会议开展时间、会议地点、会议内容、演讲主题和演讲人"/>
    <s v="请补充提供"/>
  </r>
  <r>
    <x v="54"/>
    <x v="54"/>
    <s v="MN070005"/>
    <x v="6"/>
    <x v="6"/>
    <x v="1"/>
    <x v="1"/>
    <x v="4"/>
    <x v="13"/>
    <s v="根据SOP规定，临床研究-临床研究启动会会议时长不超过1天"/>
    <s v="请确认"/>
  </r>
  <r>
    <x v="54"/>
    <x v="54"/>
    <s v="MN070006"/>
    <x v="6"/>
    <x v="6"/>
    <x v="1"/>
    <x v="1"/>
    <x v="5"/>
    <x v="14"/>
    <s v="根据SOP规定，会议地点仅限于研究中心内相关会议场所"/>
    <s v="请提供"/>
  </r>
  <r>
    <x v="54"/>
    <x v="54"/>
    <s v="MN070007"/>
    <x v="6"/>
    <x v="6"/>
    <x v="1"/>
    <x v="1"/>
    <x v="6"/>
    <x v="15"/>
    <s v="根据SOP规定，禁止在景区名胜或铺张奢侈的地点举办或参加会议"/>
    <s v="不符合要求不予报销"/>
  </r>
  <r>
    <x v="54"/>
    <x v="54"/>
    <s v="MN070008"/>
    <x v="6"/>
    <x v="6"/>
    <x v="1"/>
    <x v="1"/>
    <x v="7"/>
    <x v="16"/>
    <s v="根据SOP规定，禁止在水疗会所、温泉、度假、滑雪、高尔夫、赌博、邮轮、洗浴中心、KTV娱乐及以以上为主业的场所举办学术活动或进行业务招待活动"/>
    <s v="不符合要求不予报销"/>
  </r>
  <r>
    <x v="54"/>
    <x v="54"/>
    <s v="MN070009"/>
    <x v="6"/>
    <x v="6"/>
    <x v="1"/>
    <x v="1"/>
    <x v="8"/>
    <x v="17"/>
    <s v="系统实际内外部参会人数与签到表不一致"/>
    <s v="请确认实际内外部参会人数，并解释说明"/>
  </r>
  <r>
    <x v="54"/>
    <x v="54"/>
    <s v="MN070010"/>
    <x v="6"/>
    <x v="6"/>
    <x v="1"/>
    <x v="1"/>
    <x v="9"/>
    <x v="18"/>
    <s v="根据SOP规定，整场会议未使用电子签到单需提供逐级审批至部门负责人的审批邮件"/>
    <s v="请提供"/>
  </r>
  <r>
    <x v="54"/>
    <x v="54"/>
    <s v="MN070011"/>
    <x v="6"/>
    <x v="6"/>
    <x v="1"/>
    <x v="1"/>
    <x v="10"/>
    <x v="19"/>
    <s v="根据SOP规定，线下签到单原件需邮寄至我司"/>
    <s v="请将原件邮寄至我司，邮寄后提供快递单号，如有特殊情况请告知"/>
  </r>
  <r>
    <x v="54"/>
    <x v="54"/>
    <s v="MN070012"/>
    <x v="6"/>
    <x v="6"/>
    <x v="1"/>
    <x v="1"/>
    <x v="11"/>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54"/>
    <x v="54"/>
    <s v="MN070013"/>
    <x v="6"/>
    <x v="6"/>
    <x v="1"/>
    <x v="1"/>
    <x v="12"/>
    <x v="26"/>
    <s v="根据SOP规定，临床研究-临床研究启动会内部参会者不可少于2人（包含会议组织者），内外比例不超过1:5"/>
    <s v="请确认实际内部参会人数"/>
  </r>
  <r>
    <x v="54"/>
    <x v="54"/>
    <s v="MN070014"/>
    <x v="6"/>
    <x v="6"/>
    <x v="1"/>
    <x v="1"/>
    <x v="13"/>
    <x v="27"/>
    <s v="根据SOP规定，临床研究-临床研究启动会外部参会者可为合作研究中心研究者、研究护士及参与研究等相关人员，人数不限，但内外比例不超过1:5"/>
    <s v="请确认实际外部参会人"/>
  </r>
  <r>
    <x v="54"/>
    <x v="54"/>
    <s v="MN070015"/>
    <x v="6"/>
    <x v="6"/>
    <x v="1"/>
    <x v="1"/>
    <x v="14"/>
    <x v="28"/>
    <s v="根据SOP规定，原则上公司仅承担学术活动会议议程前后24小时内所产生的相关费用，例外事项需提供部门负责人及合规审计总监的共同批准"/>
    <s v="如需报销请提供特批"/>
  </r>
  <r>
    <x v="54"/>
    <x v="54"/>
    <s v="MN070016"/>
    <x v="6"/>
    <x v="6"/>
    <x v="1"/>
    <x v="1"/>
    <x v="15"/>
    <x v="29"/>
    <s v="根据SOP规定，临床研究-临床研究启动会可报销费用为餐费"/>
    <s v="额外费用不予报销已为您扣除"/>
  </r>
  <r>
    <x v="55"/>
    <x v="55"/>
    <s v="MN070601"/>
    <x v="6"/>
    <x v="6"/>
    <x v="6"/>
    <x v="6"/>
    <x v="0"/>
    <x v="39"/>
    <s v="根据SOP规定，会议茶歇不得独立于会议之外提供"/>
    <s v="请解释说明"/>
  </r>
  <r>
    <x v="55"/>
    <x v="55"/>
    <s v="MN070602"/>
    <x v="6"/>
    <x v="6"/>
    <x v="6"/>
    <x v="6"/>
    <x v="1"/>
    <x v="40"/>
    <s v="根据SOP规定，超市、商场或水果市场购买的费用，需要提供明细"/>
    <s v="请提供"/>
  </r>
  <r>
    <x v="55"/>
    <x v="55"/>
    <s v="MN070603"/>
    <x v="6"/>
    <x v="6"/>
    <x v="6"/>
    <x v="6"/>
    <x v="2"/>
    <x v="34"/>
    <s v="根据SOP规定，个人银行卡支付超过300元，需提供付款记录及带有持卡人姓名的个人卡照片或银行对账单"/>
    <s v="请提供"/>
  </r>
  <r>
    <x v="55"/>
    <x v="55"/>
    <s v="MN070604"/>
    <x v="6"/>
    <x v="6"/>
    <x v="6"/>
    <x v="6"/>
    <x v="3"/>
    <x v="35"/>
    <s v="“微信零钱”、&quot;支付宝花呗”及“京东白条”支付，系统付款类型应选择“现金”非“个人卡”，需驳回修改"/>
    <s v="已为您系统驳回，请重新提交完成业务审批流程后@通知审核员"/>
  </r>
  <r>
    <x v="56"/>
    <x v="56"/>
    <s v="MN070901"/>
    <x v="6"/>
    <x v="6"/>
    <x v="9"/>
    <x v="9"/>
    <x v="0"/>
    <x v="34"/>
    <s v="根据SOP规定，个人银行卡支付超过300元，需提供付款记录及带有持卡人姓名的个人卡照片或银行对账单"/>
    <s v="请提供"/>
  </r>
  <r>
    <x v="56"/>
    <x v="56"/>
    <s v="MN070902"/>
    <x v="6"/>
    <x v="6"/>
    <x v="9"/>
    <x v="9"/>
    <x v="1"/>
    <x v="35"/>
    <s v="“微信零钱”、&quot;支付宝花呗”及“京东白条”支付，系统付款类型应选择“现金”非“个人卡”，需驳回修改"/>
    <s v="已为您系统驳回，请重新提交完成业务审批流程后@通知审核员"/>
  </r>
  <r>
    <x v="57"/>
    <x v="57"/>
    <s v="MN071101"/>
    <x v="6"/>
    <x v="6"/>
    <x v="11"/>
    <x v="11"/>
    <x v="0"/>
    <x v="34"/>
    <s v="根据SOP规定，个人银行卡支付超过300元，需提供付款记录及带有持卡人姓名的个人卡照片或银行对账单"/>
    <s v="请提供"/>
  </r>
  <r>
    <x v="57"/>
    <x v="57"/>
    <s v="MN071102"/>
    <x v="6"/>
    <x v="6"/>
    <x v="11"/>
    <x v="11"/>
    <x v="1"/>
    <x v="35"/>
    <s v="“微信零钱”、&quot;支付宝花呗”及“京东白条”支付，系统付款类型应选择“现金”非“个人卡”，需驳回修改"/>
    <s v="已为您系统驳回，请重新提交完成业务审批流程后@通知审核员"/>
  </r>
  <r>
    <x v="58"/>
    <x v="58"/>
    <s v="MN081201"/>
    <x v="7"/>
    <x v="7"/>
    <x v="12"/>
    <x v="12"/>
    <x v="0"/>
    <x v="0"/>
    <s v="根据SOP规定，报销咨询费的讲者必须是讲者库中的讲者，且不能在会议结束后特批补入库"/>
    <s v="不符合要求不予支付讲课费"/>
  </r>
  <r>
    <x v="58"/>
    <x v="58"/>
    <s v="MN081202"/>
    <x v="7"/>
    <x v="7"/>
    <x v="12"/>
    <x v="12"/>
    <x v="1"/>
    <x v="1"/>
    <s v="根据SOP规定，咨询服务协议需完整正确的填写，并由HCP签字后将完整原件邮寄至我司"/>
    <s v="请提供"/>
  </r>
  <r>
    <x v="58"/>
    <x v="58"/>
    <s v="MN081203"/>
    <x v="7"/>
    <x v="7"/>
    <x v="12"/>
    <x v="12"/>
    <x v="2"/>
    <x v="2"/>
    <s v="根据SOP规定，支付咨询费的人数不应超过2人"/>
    <s v="请确认，并告知需扣除讲课费的HCP姓名"/>
  </r>
  <r>
    <x v="58"/>
    <x v="58"/>
    <s v="MN081206"/>
    <x v="7"/>
    <x v="7"/>
    <x v="12"/>
    <x v="12"/>
    <x v="5"/>
    <x v="5"/>
    <s v="根据SOP规定，专家咨询会每名专家咨询时长需≥30分钟，且至少讨论6个问题"/>
    <s v="不符合要求不予支付讲课费"/>
  </r>
  <r>
    <x v="58"/>
    <x v="58"/>
    <s v="MN081210"/>
    <x v="7"/>
    <x v="7"/>
    <x v="12"/>
    <x v="12"/>
    <x v="9"/>
    <x v="59"/>
    <s v="根据SOP规定，专家咨询会需提供专家签字紫安琪的咨询记录"/>
    <s v="请提供"/>
  </r>
  <r>
    <x v="59"/>
    <x v="59"/>
    <s v="MN080001"/>
    <x v="7"/>
    <x v="7"/>
    <x v="1"/>
    <x v="1"/>
    <x v="0"/>
    <x v="9"/>
    <s v="根据SOP规定，专家咨询会可举办的组织者岗位为临床运营部门副经理及以上人员、临床研究专员、医学副经理及以上人员、临床科学经理及以上人员，您无权限举办此类型会议"/>
    <s v="请提供逐级审批至部门负责人的授权邮件并抄送合规"/>
  </r>
  <r>
    <x v="59"/>
    <x v="59"/>
    <s v="MN080002"/>
    <x v="7"/>
    <x v="7"/>
    <x v="1"/>
    <x v="1"/>
    <x v="1"/>
    <x v="10"/>
    <s v="学会活动变更会议时间、会议地点需提供企业微信变更流程或变更审批邮件"/>
    <s v="请提供"/>
  </r>
  <r>
    <x v="59"/>
    <x v="59"/>
    <s v="MN080003"/>
    <x v="7"/>
    <x v="7"/>
    <x v="1"/>
    <x v="1"/>
    <x v="2"/>
    <x v="11"/>
    <s v="会议议程内容与系统填报的实际会议情况不一致"/>
    <s v="请确认并提供更新的会议议程"/>
  </r>
  <r>
    <x v="59"/>
    <x v="59"/>
    <s v="MN080004"/>
    <x v="7"/>
    <x v="7"/>
    <x v="1"/>
    <x v="1"/>
    <x v="3"/>
    <x v="12"/>
    <s v="会议议程需包含会议日期、会议开展时间、会议地点、会议内容、演讲主题和演讲人"/>
    <s v="请补充提供"/>
  </r>
  <r>
    <x v="59"/>
    <x v="59"/>
    <s v="MN080005"/>
    <x v="7"/>
    <x v="7"/>
    <x v="1"/>
    <x v="1"/>
    <x v="4"/>
    <x v="13"/>
    <s v="根据SOP规定，专家咨询会会议时长需≥ 30分钟且至少讨论6个问题"/>
    <s v="请确认"/>
  </r>
  <r>
    <x v="59"/>
    <x v="59"/>
    <s v="MN080006"/>
    <x v="7"/>
    <x v="7"/>
    <x v="1"/>
    <x v="1"/>
    <x v="5"/>
    <x v="14"/>
    <s v="根据SOP规定，会议地点仅限于研究中心内相关会议场所"/>
    <s v="请提供"/>
  </r>
  <r>
    <x v="59"/>
    <x v="59"/>
    <s v="MN080007"/>
    <x v="7"/>
    <x v="7"/>
    <x v="1"/>
    <x v="1"/>
    <x v="6"/>
    <x v="15"/>
    <s v="根据SOP规定，禁止在景区名胜或铺张奢侈的地点举办或参加会议"/>
    <s v="不符合要求不予报销"/>
  </r>
  <r>
    <x v="59"/>
    <x v="59"/>
    <s v="MN080008"/>
    <x v="7"/>
    <x v="7"/>
    <x v="1"/>
    <x v="1"/>
    <x v="7"/>
    <x v="16"/>
    <s v="根据SOP规定，禁止在水疗会所、温泉、度假、滑雪、高尔夫、赌博、邮轮、洗浴中心、KTV娱乐及以以上为主业的场所举办学术活动或进行业务招待活动"/>
    <s v="不符合要求不予报销"/>
  </r>
  <r>
    <x v="59"/>
    <x v="59"/>
    <s v="MN080009"/>
    <x v="7"/>
    <x v="7"/>
    <x v="1"/>
    <x v="1"/>
    <x v="8"/>
    <x v="17"/>
    <s v="系统实际内外部参会人数与签到表不一致"/>
    <s v="请确认实际内外部参会人数，并解释说明"/>
  </r>
  <r>
    <x v="59"/>
    <x v="59"/>
    <s v="MN080010"/>
    <x v="7"/>
    <x v="7"/>
    <x v="1"/>
    <x v="1"/>
    <x v="9"/>
    <x v="18"/>
    <s v="根据SOP规定，整场会议未使用电子签到单需提供逐级审批至部门负责人的审批邮件"/>
    <s v="请提供"/>
  </r>
  <r>
    <x v="59"/>
    <x v="59"/>
    <s v="MN080011"/>
    <x v="7"/>
    <x v="7"/>
    <x v="1"/>
    <x v="1"/>
    <x v="10"/>
    <x v="19"/>
    <s v="根据SOP规定，线下签到单原件需邮寄至我司"/>
    <s v="请将原件邮寄至我司，邮寄后提供快递单号"/>
  </r>
  <r>
    <x v="59"/>
    <x v="59"/>
    <s v="MN080012"/>
    <x v="7"/>
    <x v="7"/>
    <x v="1"/>
    <x v="1"/>
    <x v="11"/>
    <x v="20"/>
    <s v="根据SOP规定，线下签到表下方的“负责与会医疗专业人士的内部员工签字（确认以上签字及备注属实）”和“直线经理签字（确认以上签字及代表说明复核公司要求）”需相应负责人签字"/>
    <s v="将为您寄回线下签到表，请补充签字后原件寄回我司"/>
  </r>
  <r>
    <x v="59"/>
    <x v="59"/>
    <s v="MN080013"/>
    <x v="7"/>
    <x v="7"/>
    <x v="1"/>
    <x v="1"/>
    <x v="12"/>
    <x v="21"/>
    <s v="根据SOP规定，会议照片需使用水印相机拍摄活动现场照片，并注明活动时间、活动地点、活动主题"/>
    <s v="请补充提供，如不符合要求将不予报销"/>
  </r>
  <r>
    <x v="59"/>
    <x v="59"/>
    <s v="MN080014"/>
    <x v="7"/>
    <x v="7"/>
    <x v="1"/>
    <x v="1"/>
    <x v="13"/>
    <x v="22"/>
    <s v="根据SOP规定，专家咨询会不少于3张现场照片，要求能够体现出内外部参会者及咨询主题"/>
    <s v="请补充提供，如不符合要求将不予报销"/>
  </r>
  <r>
    <x v="59"/>
    <x v="59"/>
    <s v="MN080015"/>
    <x v="7"/>
    <x v="7"/>
    <x v="1"/>
    <x v="1"/>
    <x v="14"/>
    <x v="23"/>
    <s v="根据SOP规定，专家咨询会不少于3张现场照片，要求能够体现出内外部参会者及咨询主题"/>
    <s v="请补充提供，如不符合要求将不予报销"/>
  </r>
  <r>
    <x v="59"/>
    <x v="59"/>
    <s v="MN080016"/>
    <x v="7"/>
    <x v="7"/>
    <x v="1"/>
    <x v="1"/>
    <x v="15"/>
    <x v="24"/>
    <s v="根据SOP规定，会议照片水印所反映拍摄时间与会议议程相一致"/>
    <s v="请补充提供，如不符合要求将不予报销"/>
  </r>
  <r>
    <x v="59"/>
    <x v="59"/>
    <s v="MN080017"/>
    <x v="7"/>
    <x v="7"/>
    <x v="1"/>
    <x v="1"/>
    <x v="16"/>
    <x v="25"/>
    <s v="根据SOP规定，专家咨询会会议照片需显示50%及以上参会人员（内+外）"/>
    <s v="请补充提供，如不符合要求将不予报销"/>
  </r>
  <r>
    <x v="59"/>
    <x v="59"/>
    <s v="MN080018"/>
    <x v="7"/>
    <x v="7"/>
    <x v="1"/>
    <x v="1"/>
    <x v="17"/>
    <x v="26"/>
    <s v="根据SOP规定，专家咨询会内部参会者不可少于2人（包含会议组织者）"/>
    <s v="请确认实际内部参会人数"/>
  </r>
  <r>
    <x v="59"/>
    <x v="59"/>
    <s v="MN080019"/>
    <x v="7"/>
    <x v="7"/>
    <x v="1"/>
    <x v="1"/>
    <x v="18"/>
    <x v="60"/>
    <s v="根据SOP规定，专家咨询会外部外部参会者人数不超过2人，仅限限全国级和区域级HCP"/>
    <s v="请确认实际外部参会人数"/>
  </r>
  <r>
    <x v="59"/>
    <x v="59"/>
    <s v="MN080020"/>
    <x v="7"/>
    <x v="7"/>
    <x v="1"/>
    <x v="1"/>
    <x v="19"/>
    <x v="28"/>
    <s v="根据SOP规定，原则上公司仅承担学术活动会议议程前后24小时内所产生的相关费用，例外事项需提供部门负责人及合规审计总监的共同批准"/>
    <s v="如需报销请提供特批"/>
  </r>
  <r>
    <x v="59"/>
    <x v="59"/>
    <s v="MN080021"/>
    <x v="7"/>
    <x v="7"/>
    <x v="1"/>
    <x v="1"/>
    <x v="20"/>
    <x v="29"/>
    <s v="根据SOP规定，专家咨询会可报销费用有咨询费、餐饮、住宿、场租、交通"/>
    <s v="额外费用不予报销已为您扣除"/>
  </r>
  <r>
    <x v="60"/>
    <x v="60"/>
    <m/>
    <x v="8"/>
    <x v="8"/>
    <x v="13"/>
    <x v="13"/>
    <x v="24"/>
    <x v="6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C5B3C-D001-4B49-BCED-F25CFC9A60B0}" name="数据透视表3" cacheId="159" applyNumberFormats="0" applyBorderFormats="0" applyFontFormats="0" applyPatternFormats="0" applyAlignmentFormats="0" applyWidthHeightFormats="1" dataCaption="值" updatedVersion="7" minRefreshableVersion="3" useAutoFormatting="1" itemPrintTitles="1" createdVersion="7" indent="0" compact="0" compactData="0" multipleFieldFilters="0">
  <location ref="A3:G35" firstHeaderRow="1" firstDataRow="1" firstDataCol="6"/>
  <pivotFields count="11">
    <pivotField axis="axisRow" compact="0" outline="0" subtotalTop="0"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outline="0" subtotalTop="0" showAll="0" defaultSubtotal="0">
      <items count="31">
        <item x="5"/>
        <item x="4"/>
        <item x="16"/>
        <item x="7"/>
        <item x="2"/>
        <item x="15"/>
        <item x="3"/>
        <item x="12"/>
        <item x="11"/>
        <item x="14"/>
        <item x="1"/>
        <item x="6"/>
        <item x="9"/>
        <item x="19"/>
        <item x="20"/>
        <item x="29"/>
        <item x="17"/>
        <item x="30"/>
        <item x="18"/>
        <item x="8"/>
        <item x="23"/>
        <item x="22"/>
        <item x="25"/>
        <item x="28"/>
        <item x="26"/>
        <item x="24"/>
        <item x="27"/>
        <item x="0"/>
        <item x="10"/>
        <item x="21"/>
        <item x="13"/>
      </items>
    </pivotField>
    <pivotField compact="0" outline="0" subtotalTop="0" showAll="0" defaultSubtotal="0">
      <items count="126">
        <item x="123"/>
        <item x="124"/>
        <item x="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compact="0" outline="0" showAll="0" defaultSubtotal="0">
      <items count="31">
        <item x="5"/>
        <item x="4"/>
        <item x="16"/>
        <item x="7"/>
        <item x="2"/>
        <item x="15"/>
        <item x="3"/>
        <item x="12"/>
        <item x="11"/>
        <item x="14"/>
        <item x="1"/>
        <item x="6"/>
        <item x="9"/>
        <item x="19"/>
        <item x="20"/>
        <item x="29"/>
        <item x="17"/>
        <item x="18"/>
        <item x="8"/>
        <item x="23"/>
        <item x="22"/>
        <item x="25"/>
        <item x="28"/>
        <item x="26"/>
        <item x="24"/>
        <item x="27"/>
        <item x="0"/>
        <item x="10"/>
        <item x="21"/>
        <item x="13"/>
        <item x="30"/>
      </items>
    </pivotField>
    <pivotField dataField="1" compact="0" outline="0" showAll="0" defaultSubtotal="0"/>
    <pivotField compact="0" outline="0" showAll="0" defaultSubtotal="0"/>
    <pivotField compact="0" outline="0" showAll="0" defaultSubtotal="0"/>
    <pivotField compact="0" outline="0" showAll="0" defaultSubtotal="0"/>
  </pivotFields>
  <rowFields count="6">
    <field x="0"/>
    <field x="1"/>
    <field x="3"/>
    <field x="4"/>
    <field x="5"/>
    <field x="6"/>
  </rowFields>
  <rowItems count="32">
    <i>
      <x/>
      <x v="27"/>
      <x/>
      <x/>
      <x/>
      <x v="26"/>
    </i>
    <i>
      <x v="1"/>
      <x v="10"/>
      <x/>
      <x/>
      <x v="1"/>
      <x v="10"/>
    </i>
    <i>
      <x v="2"/>
      <x v="4"/>
      <x/>
      <x/>
      <x v="2"/>
      <x v="4"/>
    </i>
    <i>
      <x v="3"/>
      <x v="6"/>
      <x/>
      <x/>
      <x v="3"/>
      <x v="6"/>
    </i>
    <i>
      <x v="4"/>
      <x v="1"/>
      <x/>
      <x/>
      <x v="4"/>
      <x v="1"/>
    </i>
    <i>
      <x v="5"/>
      <x/>
      <x/>
      <x/>
      <x v="5"/>
      <x/>
    </i>
    <i>
      <x v="6"/>
      <x v="11"/>
      <x/>
      <x/>
      <x v="6"/>
      <x v="11"/>
    </i>
    <i>
      <x v="7"/>
      <x v="3"/>
      <x/>
      <x/>
      <x v="7"/>
      <x v="3"/>
    </i>
    <i>
      <x v="8"/>
      <x v="19"/>
      <x/>
      <x/>
      <x v="8"/>
      <x v="18"/>
    </i>
    <i>
      <x v="9"/>
      <x v="12"/>
      <x/>
      <x/>
      <x v="9"/>
      <x v="12"/>
    </i>
    <i>
      <x v="10"/>
      <x v="28"/>
      <x/>
      <x/>
      <x v="10"/>
      <x v="27"/>
    </i>
    <i>
      <x v="11"/>
      <x v="8"/>
      <x/>
      <x/>
      <x v="11"/>
      <x v="8"/>
    </i>
    <i>
      <x v="12"/>
      <x v="7"/>
      <x/>
      <x/>
      <x v="12"/>
      <x v="7"/>
    </i>
    <i>
      <x v="13"/>
      <x v="30"/>
      <x/>
      <x/>
      <x v="13"/>
      <x v="29"/>
    </i>
    <i>
      <x v="14"/>
      <x v="9"/>
      <x/>
      <x/>
      <x v="14"/>
      <x v="9"/>
    </i>
    <i>
      <x v="15"/>
      <x v="5"/>
      <x/>
      <x/>
      <x v="15"/>
      <x v="5"/>
    </i>
    <i>
      <x v="16"/>
      <x v="2"/>
      <x/>
      <x/>
      <x v="16"/>
      <x v="2"/>
    </i>
    <i>
      <x v="17"/>
      <x v="16"/>
      <x/>
      <x/>
      <x v="17"/>
      <x v="16"/>
    </i>
    <i>
      <x v="18"/>
      <x v="18"/>
      <x/>
      <x/>
      <x v="18"/>
      <x v="17"/>
    </i>
    <i>
      <x v="19"/>
      <x v="13"/>
      <x/>
      <x/>
      <x v="19"/>
      <x v="13"/>
    </i>
    <i>
      <x v="20"/>
      <x v="14"/>
      <x/>
      <x/>
      <x v="20"/>
      <x v="14"/>
    </i>
    <i>
      <x v="21"/>
      <x v="29"/>
      <x/>
      <x/>
      <x v="21"/>
      <x v="28"/>
    </i>
    <i>
      <x v="22"/>
      <x v="21"/>
      <x/>
      <x/>
      <x v="22"/>
      <x v="20"/>
    </i>
    <i>
      <x v="23"/>
      <x v="20"/>
      <x/>
      <x/>
      <x v="23"/>
      <x v="19"/>
    </i>
    <i>
      <x v="24"/>
      <x v="25"/>
      <x/>
      <x/>
      <x v="24"/>
      <x v="24"/>
    </i>
    <i>
      <x v="25"/>
      <x v="22"/>
      <x/>
      <x/>
      <x v="25"/>
      <x v="21"/>
    </i>
    <i>
      <x v="26"/>
      <x v="24"/>
      <x/>
      <x/>
      <x v="26"/>
      <x v="23"/>
    </i>
    <i>
      <x v="27"/>
      <x v="26"/>
      <x/>
      <x/>
      <x v="27"/>
      <x v="25"/>
    </i>
    <i>
      <x v="28"/>
      <x v="23"/>
      <x/>
      <x/>
      <x v="28"/>
      <x v="22"/>
    </i>
    <i>
      <x v="29"/>
      <x v="15"/>
      <x/>
      <x/>
      <x v="29"/>
      <x v="15"/>
    </i>
    <i>
      <x v="30"/>
      <x v="17"/>
      <x/>
      <x/>
      <x v="30"/>
      <x v="30"/>
    </i>
    <i t="grand">
      <x/>
    </i>
  </rowItems>
  <colItems count="1">
    <i/>
  </colItems>
  <dataFields count="1">
    <dataField name="计数项:Issue Cod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7ACB8-A217-4F62-B521-21E27C71F065}" name="数据透视表1" cacheId="169" applyNumberFormats="0" applyBorderFormats="0" applyFontFormats="0" applyPatternFormats="0" applyAlignmentFormats="0" applyWidthHeightFormats="1" dataCaption="值" updatedVersion="7" minRefreshableVersion="3" useAutoFormatting="1" itemPrintTitles="1" createdVersion="7" indent="0" compact="0" compactData="0" multipleFieldFilters="0">
  <location ref="A3:F65" firstHeaderRow="1" firstDataRow="1" firstDataCol="6"/>
  <pivotFields count="11">
    <pivotField axis="axisRow" compact="0" outline="0" subtotalTop="0" showAll="0" defaultSubtotal="0">
      <items count="61">
        <item x="0"/>
        <item x="2"/>
        <item x="3"/>
        <item x="4"/>
        <item x="5"/>
        <item x="6"/>
        <item x="7"/>
        <item x="8"/>
        <item x="9"/>
        <item x="10"/>
        <item x="11"/>
        <item x="12"/>
        <item x="14"/>
        <item x="15"/>
        <item x="16"/>
        <item x="18"/>
        <item x="19"/>
        <item x="21"/>
        <item x="22"/>
        <item x="23"/>
        <item x="24"/>
        <item x="25"/>
        <item x="26"/>
        <item x="27"/>
        <item x="28"/>
        <item x="29"/>
        <item x="30"/>
        <item x="31"/>
        <item x="33"/>
        <item x="34"/>
        <item x="35"/>
        <item x="36"/>
        <item x="37"/>
        <item x="38"/>
        <item x="39"/>
        <item x="40"/>
        <item x="41"/>
        <item x="42"/>
        <item x="44"/>
        <item x="45"/>
        <item x="46"/>
        <item x="47"/>
        <item x="48"/>
        <item x="49"/>
        <item x="50"/>
        <item x="51"/>
        <item x="52"/>
        <item x="53"/>
        <item x="55"/>
        <item x="56"/>
        <item x="57"/>
        <item x="58"/>
        <item x="1"/>
        <item x="13"/>
        <item x="17"/>
        <item x="20"/>
        <item x="32"/>
        <item x="43"/>
        <item x="54"/>
        <item x="59"/>
        <item x="60"/>
      </items>
    </pivotField>
    <pivotField axis="axisRow" compact="0" outline="0" subtotalTop="0" showAll="0" defaultSubtotal="0">
      <items count="61">
        <item x="21"/>
        <item x="25"/>
        <item x="26"/>
        <item x="27"/>
        <item x="24"/>
        <item x="19"/>
        <item x="22"/>
        <item x="28"/>
        <item x="30"/>
        <item x="29"/>
        <item x="23"/>
        <item x="20"/>
        <item x="14"/>
        <item x="15"/>
        <item x="12"/>
        <item x="13"/>
        <item x="53"/>
        <item x="55"/>
        <item x="56"/>
        <item x="57"/>
        <item x="54"/>
        <item x="44"/>
        <item x="48"/>
        <item x="49"/>
        <item x="50"/>
        <item x="47"/>
        <item x="42"/>
        <item x="45"/>
        <item x="52"/>
        <item x="51"/>
        <item x="46"/>
        <item x="43"/>
        <item x="31"/>
        <item x="36"/>
        <item x="37"/>
        <item x="38"/>
        <item x="35"/>
        <item x="33"/>
        <item x="39"/>
        <item x="41"/>
        <item x="40"/>
        <item x="34"/>
        <item x="32"/>
        <item x="2"/>
        <item x="6"/>
        <item x="7"/>
        <item x="8"/>
        <item x="5"/>
        <item x="0"/>
        <item x="3"/>
        <item x="9"/>
        <item x="11"/>
        <item x="10"/>
        <item x="4"/>
        <item x="1"/>
        <item x="16"/>
        <item x="18"/>
        <item x="17"/>
        <item x="59"/>
        <item x="58"/>
        <item x="60"/>
      </items>
    </pivotField>
    <pivotField compact="0" outline="0" subtotalTop="0" showAll="0" defaultSubtotal="0"/>
    <pivotField axis="axisRow" compact="0" outline="0" showAll="0" defaultSubtotal="0">
      <items count="9">
        <item x="0"/>
        <item x="1"/>
        <item x="2"/>
        <item x="3"/>
        <item x="4"/>
        <item x="5"/>
        <item x="6"/>
        <item x="7"/>
        <item x="8"/>
      </items>
    </pivotField>
    <pivotField axis="axisRow" compact="0" outline="0" showAll="0" defaultSubtotal="0">
      <items count="9">
        <item x="1"/>
        <item x="0"/>
        <item x="2"/>
        <item x="3"/>
        <item x="4"/>
        <item x="5"/>
        <item x="6"/>
        <item x="7"/>
        <item x="8"/>
      </items>
    </pivotField>
    <pivotField axis="axisRow" compact="0" outline="0" showAll="0" sortType="ascending" defaultSubtotal="0">
      <items count="14">
        <item x="1"/>
        <item x="0"/>
        <item x="2"/>
        <item x="3"/>
        <item x="4"/>
        <item x="5"/>
        <item x="6"/>
        <item x="7"/>
        <item x="8"/>
        <item x="9"/>
        <item x="10"/>
        <item x="11"/>
        <item x="12"/>
        <item x="13"/>
      </items>
    </pivotField>
    <pivotField axis="axisRow" compact="0" outline="0" showAll="0" defaultSubtotal="0">
      <items count="14">
        <item x="2"/>
        <item x="6"/>
        <item x="7"/>
        <item x="8"/>
        <item x="5"/>
        <item x="0"/>
        <item x="3"/>
        <item x="9"/>
        <item x="11"/>
        <item x="10"/>
        <item x="4"/>
        <item x="12"/>
        <item x="1"/>
        <item x="13"/>
      </items>
    </pivotField>
    <pivotField compact="0" outline="0"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 compact="0" outline="0" showAll="0" defaultSubtotal="0">
      <items count="62">
        <item x="36"/>
        <item x="38"/>
        <item x="41"/>
        <item x="29"/>
        <item x="28"/>
        <item x="31"/>
        <item x="40"/>
        <item x="6"/>
        <item x="7"/>
        <item x="0"/>
        <item x="34"/>
        <item x="32"/>
        <item x="53"/>
        <item x="14"/>
        <item x="16"/>
        <item x="15"/>
        <item x="52"/>
        <item x="55"/>
        <item x="19"/>
        <item x="17"/>
        <item x="20"/>
        <item x="18"/>
        <item x="54"/>
        <item x="47"/>
        <item x="45"/>
        <item x="46"/>
        <item x="9"/>
        <item x="51"/>
        <item x="26"/>
        <item x="60"/>
        <item x="27"/>
        <item x="10"/>
        <item x="12"/>
        <item x="11"/>
        <item x="13"/>
        <item x="23"/>
        <item x="22"/>
        <item x="21"/>
        <item x="50"/>
        <item x="48"/>
        <item x="56"/>
        <item x="25"/>
        <item x="24"/>
        <item x="49"/>
        <item x="37"/>
        <item x="44"/>
        <item x="57"/>
        <item x="58"/>
        <item x="2"/>
        <item x="4"/>
        <item x="30"/>
        <item x="33"/>
        <item x="39"/>
        <item x="35"/>
        <item x="42"/>
        <item x="43"/>
        <item x="5"/>
        <item x="1"/>
        <item x="8"/>
        <item x="3"/>
        <item x="59"/>
        <item x="61"/>
      </items>
    </pivotField>
    <pivotField compact="0" outline="0" showAll="0" defaultSubtotal="0"/>
    <pivotField compact="0" outline="0" showAll="0" defaultSubtotal="0"/>
  </pivotFields>
  <rowFields count="6">
    <field x="0"/>
    <field x="1"/>
    <field x="3"/>
    <field x="4"/>
    <field x="5"/>
    <field x="6"/>
  </rowFields>
  <rowItems count="62">
    <i>
      <x/>
      <x v="48"/>
      <x/>
      <x v="1"/>
      <x v="1"/>
      <x v="5"/>
    </i>
    <i>
      <x v="1"/>
      <x v="43"/>
      <x/>
      <x v="1"/>
      <x v="2"/>
      <x/>
    </i>
    <i>
      <x v="2"/>
      <x v="49"/>
      <x/>
      <x v="1"/>
      <x v="3"/>
      <x v="6"/>
    </i>
    <i>
      <x v="3"/>
      <x v="53"/>
      <x/>
      <x v="1"/>
      <x v="4"/>
      <x v="10"/>
    </i>
    <i>
      <x v="4"/>
      <x v="47"/>
      <x/>
      <x v="1"/>
      <x v="5"/>
      <x v="4"/>
    </i>
    <i>
      <x v="5"/>
      <x v="44"/>
      <x/>
      <x v="1"/>
      <x v="6"/>
      <x v="1"/>
    </i>
    <i>
      <x v="6"/>
      <x v="45"/>
      <x/>
      <x v="1"/>
      <x v="7"/>
      <x v="2"/>
    </i>
    <i>
      <x v="7"/>
      <x v="46"/>
      <x/>
      <x v="1"/>
      <x v="8"/>
      <x v="3"/>
    </i>
    <i>
      <x v="8"/>
      <x v="50"/>
      <x/>
      <x v="1"/>
      <x v="9"/>
      <x v="7"/>
    </i>
    <i>
      <x v="9"/>
      <x v="52"/>
      <x/>
      <x v="1"/>
      <x v="10"/>
      <x v="9"/>
    </i>
    <i>
      <x v="10"/>
      <x v="51"/>
      <x/>
      <x v="1"/>
      <x v="11"/>
      <x v="8"/>
    </i>
    <i>
      <x v="11"/>
      <x v="14"/>
      <x v="1"/>
      <x/>
      <x v="1"/>
      <x v="5"/>
    </i>
    <i>
      <x v="12"/>
      <x v="12"/>
      <x v="1"/>
      <x/>
      <x v="2"/>
      <x/>
    </i>
    <i>
      <x v="13"/>
      <x v="13"/>
      <x v="1"/>
      <x/>
      <x v="6"/>
      <x v="1"/>
    </i>
    <i>
      <x v="14"/>
      <x v="55"/>
      <x v="2"/>
      <x v="2"/>
      <x v="2"/>
      <x/>
    </i>
    <i>
      <x v="15"/>
      <x v="56"/>
      <x v="2"/>
      <x v="2"/>
      <x v="6"/>
      <x v="1"/>
    </i>
    <i>
      <x v="16"/>
      <x v="5"/>
      <x v="3"/>
      <x v="3"/>
      <x v="1"/>
      <x v="5"/>
    </i>
    <i>
      <x v="17"/>
      <x/>
      <x v="3"/>
      <x v="3"/>
      <x v="2"/>
      <x/>
    </i>
    <i>
      <x v="18"/>
      <x v="6"/>
      <x v="3"/>
      <x v="3"/>
      <x v="3"/>
      <x v="6"/>
    </i>
    <i>
      <x v="19"/>
      <x v="10"/>
      <x v="3"/>
      <x v="3"/>
      <x v="4"/>
      <x v="10"/>
    </i>
    <i>
      <x v="20"/>
      <x v="4"/>
      <x v="3"/>
      <x v="3"/>
      <x v="5"/>
      <x v="4"/>
    </i>
    <i>
      <x v="21"/>
      <x v="1"/>
      <x v="3"/>
      <x v="3"/>
      <x v="6"/>
      <x v="1"/>
    </i>
    <i>
      <x v="22"/>
      <x v="2"/>
      <x v="3"/>
      <x v="3"/>
      <x v="7"/>
      <x v="2"/>
    </i>
    <i>
      <x v="23"/>
      <x v="3"/>
      <x v="3"/>
      <x v="3"/>
      <x v="8"/>
      <x v="3"/>
    </i>
    <i>
      <x v="24"/>
      <x v="7"/>
      <x v="3"/>
      <x v="3"/>
      <x v="9"/>
      <x v="7"/>
    </i>
    <i>
      <x v="25"/>
      <x v="9"/>
      <x v="3"/>
      <x v="3"/>
      <x v="10"/>
      <x v="9"/>
    </i>
    <i>
      <x v="26"/>
      <x v="8"/>
      <x v="3"/>
      <x v="3"/>
      <x v="11"/>
      <x v="8"/>
    </i>
    <i>
      <x v="27"/>
      <x v="32"/>
      <x v="4"/>
      <x v="4"/>
      <x v="2"/>
      <x/>
    </i>
    <i>
      <x v="28"/>
      <x v="37"/>
      <x v="4"/>
      <x v="4"/>
      <x v="3"/>
      <x v="6"/>
    </i>
    <i>
      <x v="29"/>
      <x v="41"/>
      <x v="4"/>
      <x v="4"/>
      <x v="4"/>
      <x v="10"/>
    </i>
    <i>
      <x v="30"/>
      <x v="36"/>
      <x v="4"/>
      <x v="4"/>
      <x v="5"/>
      <x v="4"/>
    </i>
    <i>
      <x v="31"/>
      <x v="33"/>
      <x v="4"/>
      <x v="4"/>
      <x v="6"/>
      <x v="1"/>
    </i>
    <i>
      <x v="32"/>
      <x v="34"/>
      <x v="4"/>
      <x v="4"/>
      <x v="7"/>
      <x v="2"/>
    </i>
    <i>
      <x v="33"/>
      <x v="35"/>
      <x v="4"/>
      <x v="4"/>
      <x v="8"/>
      <x v="3"/>
    </i>
    <i>
      <x v="34"/>
      <x v="38"/>
      <x v="4"/>
      <x v="4"/>
      <x v="9"/>
      <x v="7"/>
    </i>
    <i>
      <x v="35"/>
      <x v="40"/>
      <x v="4"/>
      <x v="4"/>
      <x v="10"/>
      <x v="9"/>
    </i>
    <i>
      <x v="36"/>
      <x v="39"/>
      <x v="4"/>
      <x v="4"/>
      <x v="11"/>
      <x v="8"/>
    </i>
    <i>
      <x v="37"/>
      <x v="26"/>
      <x v="5"/>
      <x v="5"/>
      <x v="1"/>
      <x v="5"/>
    </i>
    <i>
      <x v="38"/>
      <x v="21"/>
      <x v="5"/>
      <x v="5"/>
      <x v="2"/>
      <x/>
    </i>
    <i>
      <x v="39"/>
      <x v="27"/>
      <x v="5"/>
      <x v="5"/>
      <x v="3"/>
      <x v="6"/>
    </i>
    <i>
      <x v="40"/>
      <x v="30"/>
      <x v="5"/>
      <x v="5"/>
      <x v="4"/>
      <x v="10"/>
    </i>
    <i>
      <x v="41"/>
      <x v="25"/>
      <x v="5"/>
      <x v="5"/>
      <x v="5"/>
      <x v="4"/>
    </i>
    <i>
      <x v="42"/>
      <x v="22"/>
      <x v="5"/>
      <x v="5"/>
      <x v="6"/>
      <x v="1"/>
    </i>
    <i>
      <x v="43"/>
      <x v="23"/>
      <x v="5"/>
      <x v="5"/>
      <x v="7"/>
      <x v="2"/>
    </i>
    <i>
      <x v="44"/>
      <x v="24"/>
      <x v="5"/>
      <x v="5"/>
      <x v="8"/>
      <x v="3"/>
    </i>
    <i>
      <x v="45"/>
      <x v="29"/>
      <x v="5"/>
      <x v="5"/>
      <x v="10"/>
      <x v="9"/>
    </i>
    <i>
      <x v="46"/>
      <x v="28"/>
      <x v="5"/>
      <x v="5"/>
      <x v="11"/>
      <x v="8"/>
    </i>
    <i>
      <x v="47"/>
      <x v="16"/>
      <x v="6"/>
      <x v="6"/>
      <x v="2"/>
      <x/>
    </i>
    <i>
      <x v="48"/>
      <x v="17"/>
      <x v="6"/>
      <x v="6"/>
      <x v="6"/>
      <x v="1"/>
    </i>
    <i>
      <x v="49"/>
      <x v="18"/>
      <x v="6"/>
      <x v="6"/>
      <x v="9"/>
      <x v="7"/>
    </i>
    <i>
      <x v="50"/>
      <x v="19"/>
      <x v="6"/>
      <x v="6"/>
      <x v="11"/>
      <x v="8"/>
    </i>
    <i>
      <x v="51"/>
      <x v="59"/>
      <x v="7"/>
      <x v="7"/>
      <x v="12"/>
      <x v="11"/>
    </i>
    <i>
      <x v="52"/>
      <x v="54"/>
      <x/>
      <x v="1"/>
      <x/>
      <x v="12"/>
    </i>
    <i>
      <x v="53"/>
      <x v="15"/>
      <x v="1"/>
      <x/>
      <x/>
      <x v="12"/>
    </i>
    <i>
      <x v="54"/>
      <x v="57"/>
      <x v="2"/>
      <x v="2"/>
      <x/>
      <x v="12"/>
    </i>
    <i>
      <x v="55"/>
      <x v="11"/>
      <x v="3"/>
      <x v="3"/>
      <x/>
      <x v="12"/>
    </i>
    <i>
      <x v="56"/>
      <x v="42"/>
      <x v="4"/>
      <x v="4"/>
      <x/>
      <x v="12"/>
    </i>
    <i>
      <x v="57"/>
      <x v="31"/>
      <x v="5"/>
      <x v="5"/>
      <x/>
      <x v="12"/>
    </i>
    <i>
      <x v="58"/>
      <x v="20"/>
      <x v="6"/>
      <x v="6"/>
      <x/>
      <x v="12"/>
    </i>
    <i>
      <x v="59"/>
      <x v="58"/>
      <x v="7"/>
      <x v="7"/>
      <x/>
      <x v="12"/>
    </i>
    <i>
      <x v="60"/>
      <x v="60"/>
      <x v="8"/>
      <x v="8"/>
      <x v="13"/>
      <x v="1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3E3397-0710-4222-9001-3841B5344CB6}" name="数据透视表1" cacheId="133" applyNumberFormats="0" applyBorderFormats="0" applyFontFormats="0" applyPatternFormats="0" applyAlignmentFormats="0" applyWidthHeightFormats="1" dataCaption="值" updatedVersion="7" minRefreshableVersion="3" useAutoFormatting="1" itemPrintTitles="1" createdVersion="7" indent="0" compact="0" compactData="0" multipleFieldFilters="0">
  <location ref="A3:K19" firstHeaderRow="1" firstDataRow="3" firstDataCol="2"/>
  <pivotFields count="10">
    <pivotField compact="0" outline="0" subtotalTop="0" showAll="0" defaultSubtotal="0"/>
    <pivotField axis="axisCol" compact="0" outline="0" showAll="0" defaultSubtotal="0">
      <items count="8">
        <item x="0"/>
        <item x="1"/>
        <item x="2"/>
        <item x="3"/>
        <item x="4"/>
        <item x="5"/>
        <item x="6"/>
        <item x="7"/>
      </items>
    </pivotField>
    <pivotField axis="axisCol" compact="0" outline="0" showAll="0" defaultSubtotal="0">
      <items count="8">
        <item x="1"/>
        <item x="0"/>
        <item x="2"/>
        <item x="3"/>
        <item x="4"/>
        <item x="5"/>
        <item x="6"/>
        <item x="7"/>
      </items>
    </pivotField>
    <pivotField axis="axisRow" compact="0" outline="0" showAll="0" sortType="ascending" defaultSubtotal="0">
      <items count="13">
        <item x="1"/>
        <item x="0"/>
        <item x="2"/>
        <item x="3"/>
        <item x="4"/>
        <item x="5"/>
        <item x="6"/>
        <item x="7"/>
        <item x="8"/>
        <item x="9"/>
        <item x="10"/>
        <item x="11"/>
        <item x="12"/>
      </items>
    </pivotField>
    <pivotField axis="axisRow" compact="0" outline="0" showAll="0" defaultSubtotal="0">
      <items count="13">
        <item x="2"/>
        <item x="6"/>
        <item x="7"/>
        <item x="8"/>
        <item x="5"/>
        <item x="0"/>
        <item x="3"/>
        <item x="9"/>
        <item x="11"/>
        <item x="10"/>
        <item x="4"/>
        <item x="12"/>
        <item x="1"/>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4"/>
  </rowFields>
  <rowItems count="14">
    <i>
      <x/>
      <x v="12"/>
    </i>
    <i>
      <x v="1"/>
      <x v="5"/>
    </i>
    <i>
      <x v="2"/>
      <x/>
    </i>
    <i>
      <x v="3"/>
      <x v="6"/>
    </i>
    <i>
      <x v="4"/>
      <x v="10"/>
    </i>
    <i>
      <x v="5"/>
      <x v="4"/>
    </i>
    <i>
      <x v="6"/>
      <x v="1"/>
    </i>
    <i>
      <x v="7"/>
      <x v="2"/>
    </i>
    <i>
      <x v="8"/>
      <x v="3"/>
    </i>
    <i>
      <x v="9"/>
      <x v="7"/>
    </i>
    <i>
      <x v="10"/>
      <x v="9"/>
    </i>
    <i>
      <x v="11"/>
      <x v="8"/>
    </i>
    <i>
      <x v="12"/>
      <x v="11"/>
    </i>
    <i t="grand">
      <x/>
    </i>
  </rowItems>
  <colFields count="2">
    <field x="1"/>
    <field x="2"/>
  </colFields>
  <colItems count="9">
    <i>
      <x/>
      <x v="1"/>
    </i>
    <i>
      <x v="1"/>
      <x/>
    </i>
    <i>
      <x v="2"/>
      <x v="2"/>
    </i>
    <i>
      <x v="3"/>
      <x v="3"/>
    </i>
    <i>
      <x v="4"/>
      <x v="4"/>
    </i>
    <i>
      <x v="5"/>
      <x v="5"/>
    </i>
    <i>
      <x v="6"/>
      <x v="6"/>
    </i>
    <i>
      <x v="7"/>
      <x v="7"/>
    </i>
    <i t="grand">
      <x/>
    </i>
  </colItems>
  <dataFields count="1">
    <dataField name="计数项:Issue Cod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180BF-4E99-4306-8D4A-2D8BA0683ED9}" name="数据透视表1" cacheId="169" applyNumberFormats="0" applyBorderFormats="0" applyFontFormats="0" applyPatternFormats="0" applyAlignmentFormats="0" applyWidthHeightFormats="1" dataCaption="值" updatedVersion="7" minRefreshableVersion="3" useAutoFormatting="1" itemPrintTitles="1" createdVersion="7" indent="0" compact="0" compactData="0" multipleFieldFilters="0">
  <location ref="A3:E65" firstHeaderRow="1" firstDataRow="1" firstDataCol="4"/>
  <pivotFields count="11">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9">
        <item x="0"/>
        <item x="1"/>
        <item x="2"/>
        <item x="3"/>
        <item x="4"/>
        <item x="5"/>
        <item x="6"/>
        <item x="7"/>
        <item x="8"/>
      </items>
    </pivotField>
    <pivotField axis="axisRow" compact="0" outline="0" showAll="0" defaultSubtotal="0">
      <items count="9">
        <item x="1"/>
        <item x="0"/>
        <item x="2"/>
        <item x="3"/>
        <item x="4"/>
        <item x="5"/>
        <item x="6"/>
        <item x="7"/>
        <item x="8"/>
      </items>
    </pivotField>
    <pivotField axis="axisRow" compact="0" outline="0" showAll="0" sortType="ascending" defaultSubtotal="0">
      <items count="14">
        <item x="1"/>
        <item x="0"/>
        <item x="2"/>
        <item x="3"/>
        <item x="4"/>
        <item x="5"/>
        <item x="6"/>
        <item x="7"/>
        <item x="8"/>
        <item x="9"/>
        <item x="10"/>
        <item x="11"/>
        <item x="12"/>
        <item x="13"/>
      </items>
    </pivotField>
    <pivotField axis="axisRow" compact="0" outline="0" showAll="0" defaultSubtotal="0">
      <items count="14">
        <item x="2"/>
        <item x="6"/>
        <item x="7"/>
        <item x="8"/>
        <item x="5"/>
        <item x="0"/>
        <item x="3"/>
        <item x="9"/>
        <item x="11"/>
        <item x="10"/>
        <item x="4"/>
        <item x="12"/>
        <item x="1"/>
        <item x="13"/>
      </items>
    </pivotField>
    <pivotField dataField="1" compact="0" outline="0" showAll="0" defaultSubtotal="0"/>
    <pivotField compact="0" outline="0" showAll="0" defaultSubtotal="0"/>
    <pivotField compact="0" outline="0" showAll="0" defaultSubtotal="0"/>
    <pivotField compact="0" outline="0" showAll="0" defaultSubtotal="0"/>
  </pivotFields>
  <rowFields count="4">
    <field x="3"/>
    <field x="4"/>
    <field x="5"/>
    <field x="6"/>
  </rowFields>
  <rowItems count="62">
    <i>
      <x/>
      <x v="1"/>
      <x/>
      <x v="12"/>
    </i>
    <i r="2">
      <x v="1"/>
      <x v="5"/>
    </i>
    <i r="2">
      <x v="2"/>
      <x/>
    </i>
    <i r="2">
      <x v="3"/>
      <x v="6"/>
    </i>
    <i r="2">
      <x v="4"/>
      <x v="10"/>
    </i>
    <i r="2">
      <x v="5"/>
      <x v="4"/>
    </i>
    <i r="2">
      <x v="6"/>
      <x v="1"/>
    </i>
    <i r="2">
      <x v="7"/>
      <x v="2"/>
    </i>
    <i r="2">
      <x v="8"/>
      <x v="3"/>
    </i>
    <i r="2">
      <x v="9"/>
      <x v="7"/>
    </i>
    <i r="2">
      <x v="10"/>
      <x v="9"/>
    </i>
    <i r="2">
      <x v="11"/>
      <x v="8"/>
    </i>
    <i>
      <x v="1"/>
      <x/>
      <x/>
      <x v="12"/>
    </i>
    <i r="2">
      <x v="1"/>
      <x v="5"/>
    </i>
    <i r="2">
      <x v="2"/>
      <x/>
    </i>
    <i r="2">
      <x v="6"/>
      <x v="1"/>
    </i>
    <i>
      <x v="2"/>
      <x v="2"/>
      <x/>
      <x v="12"/>
    </i>
    <i r="2">
      <x v="2"/>
      <x/>
    </i>
    <i r="2">
      <x v="6"/>
      <x v="1"/>
    </i>
    <i>
      <x v="3"/>
      <x v="3"/>
      <x/>
      <x v="12"/>
    </i>
    <i r="2">
      <x v="1"/>
      <x v="5"/>
    </i>
    <i r="2">
      <x v="2"/>
      <x/>
    </i>
    <i r="2">
      <x v="3"/>
      <x v="6"/>
    </i>
    <i r="2">
      <x v="4"/>
      <x v="10"/>
    </i>
    <i r="2">
      <x v="5"/>
      <x v="4"/>
    </i>
    <i r="2">
      <x v="6"/>
      <x v="1"/>
    </i>
    <i r="2">
      <x v="7"/>
      <x v="2"/>
    </i>
    <i r="2">
      <x v="8"/>
      <x v="3"/>
    </i>
    <i r="2">
      <x v="9"/>
      <x v="7"/>
    </i>
    <i r="2">
      <x v="10"/>
      <x v="9"/>
    </i>
    <i r="2">
      <x v="11"/>
      <x v="8"/>
    </i>
    <i>
      <x v="4"/>
      <x v="4"/>
      <x/>
      <x v="12"/>
    </i>
    <i r="2">
      <x v="2"/>
      <x/>
    </i>
    <i r="2">
      <x v="3"/>
      <x v="6"/>
    </i>
    <i r="2">
      <x v="4"/>
      <x v="10"/>
    </i>
    <i r="2">
      <x v="5"/>
      <x v="4"/>
    </i>
    <i r="2">
      <x v="6"/>
      <x v="1"/>
    </i>
    <i r="2">
      <x v="7"/>
      <x v="2"/>
    </i>
    <i r="2">
      <x v="8"/>
      <x v="3"/>
    </i>
    <i r="2">
      <x v="9"/>
      <x v="7"/>
    </i>
    <i r="2">
      <x v="10"/>
      <x v="9"/>
    </i>
    <i r="2">
      <x v="11"/>
      <x v="8"/>
    </i>
    <i>
      <x v="5"/>
      <x v="5"/>
      <x/>
      <x v="12"/>
    </i>
    <i r="2">
      <x v="1"/>
      <x v="5"/>
    </i>
    <i r="2">
      <x v="2"/>
      <x/>
    </i>
    <i r="2">
      <x v="3"/>
      <x v="6"/>
    </i>
    <i r="2">
      <x v="4"/>
      <x v="10"/>
    </i>
    <i r="2">
      <x v="5"/>
      <x v="4"/>
    </i>
    <i r="2">
      <x v="6"/>
      <x v="1"/>
    </i>
    <i r="2">
      <x v="7"/>
      <x v="2"/>
    </i>
    <i r="2">
      <x v="8"/>
      <x v="3"/>
    </i>
    <i r="2">
      <x v="10"/>
      <x v="9"/>
    </i>
    <i r="2">
      <x v="11"/>
      <x v="8"/>
    </i>
    <i>
      <x v="6"/>
      <x v="6"/>
      <x/>
      <x v="12"/>
    </i>
    <i r="2">
      <x v="2"/>
      <x/>
    </i>
    <i r="2">
      <x v="6"/>
      <x v="1"/>
    </i>
    <i r="2">
      <x v="9"/>
      <x v="7"/>
    </i>
    <i r="2">
      <x v="11"/>
      <x v="8"/>
    </i>
    <i>
      <x v="7"/>
      <x v="7"/>
      <x/>
      <x v="12"/>
    </i>
    <i r="2">
      <x v="12"/>
      <x v="11"/>
    </i>
    <i>
      <x v="8"/>
      <x v="8"/>
      <x v="13"/>
      <x v="13"/>
    </i>
    <i t="grand">
      <x/>
    </i>
  </rowItems>
  <colItems count="1">
    <i/>
  </colItems>
  <dataFields count="1">
    <dataField name="计数项:Issue Cod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E5FB-1273-4E1A-B5E8-8C4960EF81DC}">
  <dimension ref="B2:G36"/>
  <sheetViews>
    <sheetView tabSelected="1" workbookViewId="0">
      <selection activeCell="C30" sqref="C30"/>
    </sheetView>
  </sheetViews>
  <sheetFormatPr defaultRowHeight="14" x14ac:dyDescent="0.3"/>
  <cols>
    <col min="2" max="2" width="14.08203125" bestFit="1" customWidth="1"/>
    <col min="3" max="3" width="52.83203125" bestFit="1" customWidth="1"/>
    <col min="4" max="4" width="13.5" bestFit="1" customWidth="1"/>
    <col min="5" max="5" width="24.5" bestFit="1" customWidth="1"/>
    <col min="6" max="6" width="13.5" bestFit="1" customWidth="1"/>
    <col min="7" max="7" width="9" bestFit="1" customWidth="1"/>
  </cols>
  <sheetData>
    <row r="2" spans="2:4" x14ac:dyDescent="0.3">
      <c r="B2" t="s">
        <v>687</v>
      </c>
      <c r="C2" t="s">
        <v>688</v>
      </c>
    </row>
    <row r="3" spans="2:4" x14ac:dyDescent="0.3">
      <c r="B3" t="s">
        <v>689</v>
      </c>
      <c r="C3" t="s">
        <v>696</v>
      </c>
    </row>
    <row r="5" spans="2:4" x14ac:dyDescent="0.3">
      <c r="B5" t="s">
        <v>690</v>
      </c>
      <c r="C5" t="s">
        <v>692</v>
      </c>
    </row>
    <row r="6" spans="2:4" x14ac:dyDescent="0.3">
      <c r="B6" t="s">
        <v>701</v>
      </c>
      <c r="C6" t="s">
        <v>697</v>
      </c>
    </row>
    <row r="7" spans="2:4" x14ac:dyDescent="0.3">
      <c r="B7" t="s">
        <v>693</v>
      </c>
      <c r="C7" t="s">
        <v>691</v>
      </c>
    </row>
    <row r="8" spans="2:4" x14ac:dyDescent="0.3">
      <c r="B8" t="s">
        <v>694</v>
      </c>
      <c r="C8" t="s">
        <v>695</v>
      </c>
    </row>
    <row r="10" spans="2:4" x14ac:dyDescent="0.3">
      <c r="B10" t="s">
        <v>698</v>
      </c>
      <c r="C10" t="s">
        <v>700</v>
      </c>
    </row>
    <row r="11" spans="2:4" x14ac:dyDescent="0.3">
      <c r="B11" t="s">
        <v>701</v>
      </c>
      <c r="C11" t="s">
        <v>1</v>
      </c>
      <c r="D11" t="s">
        <v>697</v>
      </c>
    </row>
    <row r="12" spans="2:4" x14ac:dyDescent="0.3">
      <c r="B12" t="s">
        <v>294</v>
      </c>
      <c r="C12" t="s">
        <v>9</v>
      </c>
      <c r="D12" t="s">
        <v>792</v>
      </c>
    </row>
    <row r="13" spans="2:4" x14ac:dyDescent="0.3">
      <c r="B13" t="s">
        <v>295</v>
      </c>
      <c r="C13" t="s">
        <v>430</v>
      </c>
      <c r="D13" t="s">
        <v>793</v>
      </c>
    </row>
    <row r="14" spans="2:4" x14ac:dyDescent="0.3">
      <c r="B14" t="s">
        <v>296</v>
      </c>
      <c r="C14" t="s">
        <v>442</v>
      </c>
      <c r="D14" t="s">
        <v>793</v>
      </c>
    </row>
    <row r="15" spans="2:4" x14ac:dyDescent="0.3">
      <c r="B15" t="s">
        <v>297</v>
      </c>
      <c r="C15" t="s">
        <v>443</v>
      </c>
      <c r="D15" t="s">
        <v>793</v>
      </c>
    </row>
    <row r="16" spans="2:4" x14ac:dyDescent="0.3">
      <c r="B16" t="s">
        <v>298</v>
      </c>
      <c r="C16" t="s">
        <v>507</v>
      </c>
      <c r="D16" t="s">
        <v>793</v>
      </c>
    </row>
    <row r="17" spans="2:7" x14ac:dyDescent="0.3">
      <c r="B17" t="s">
        <v>299</v>
      </c>
      <c r="C17" t="s">
        <v>519</v>
      </c>
      <c r="D17" t="s">
        <v>793</v>
      </c>
    </row>
    <row r="18" spans="2:7" x14ac:dyDescent="0.3">
      <c r="B18" t="s">
        <v>300</v>
      </c>
      <c r="C18" t="s">
        <v>528</v>
      </c>
      <c r="D18" t="s">
        <v>793</v>
      </c>
    </row>
    <row r="19" spans="2:7" x14ac:dyDescent="0.3">
      <c r="B19" t="s">
        <v>301</v>
      </c>
      <c r="C19" t="s">
        <v>541</v>
      </c>
      <c r="D19" t="s">
        <v>793</v>
      </c>
    </row>
    <row r="20" spans="2:7" x14ac:dyDescent="0.3">
      <c r="B20" t="s">
        <v>302</v>
      </c>
      <c r="C20" t="s">
        <v>552</v>
      </c>
      <c r="D20" t="s">
        <v>793</v>
      </c>
    </row>
    <row r="22" spans="2:7" x14ac:dyDescent="0.3">
      <c r="B22" t="s">
        <v>699</v>
      </c>
      <c r="C22" t="s">
        <v>788</v>
      </c>
    </row>
    <row r="23" spans="2:7" x14ac:dyDescent="0.3">
      <c r="B23" t="s">
        <v>294</v>
      </c>
      <c r="C23" t="s">
        <v>569</v>
      </c>
    </row>
    <row r="25" spans="2:7" x14ac:dyDescent="0.3">
      <c r="B25" t="s">
        <v>789</v>
      </c>
      <c r="C25" t="s">
        <v>791</v>
      </c>
    </row>
    <row r="27" spans="2:7" x14ac:dyDescent="0.3">
      <c r="B27" t="s">
        <v>776</v>
      </c>
      <c r="C27" t="s">
        <v>778</v>
      </c>
      <c r="D27" t="s">
        <v>446</v>
      </c>
      <c r="E27" t="s">
        <v>447</v>
      </c>
      <c r="F27" t="s">
        <v>448</v>
      </c>
      <c r="G27" t="s">
        <v>449</v>
      </c>
    </row>
    <row r="28" spans="2:7" x14ac:dyDescent="0.3">
      <c r="B28" t="s">
        <v>790</v>
      </c>
      <c r="C28" t="s">
        <v>775</v>
      </c>
      <c r="D28" t="s">
        <v>294</v>
      </c>
      <c r="E28" t="s">
        <v>450</v>
      </c>
      <c r="F28" t="s">
        <v>294</v>
      </c>
      <c r="G28" t="s">
        <v>569</v>
      </c>
    </row>
    <row r="29" spans="2:7" x14ac:dyDescent="0.3">
      <c r="B29" t="s">
        <v>780</v>
      </c>
      <c r="C29" t="s">
        <v>624</v>
      </c>
      <c r="D29" t="s">
        <v>295</v>
      </c>
      <c r="E29" t="s">
        <v>430</v>
      </c>
      <c r="F29" t="s">
        <v>294</v>
      </c>
      <c r="G29" t="s">
        <v>569</v>
      </c>
    </row>
    <row r="30" spans="2:7" x14ac:dyDescent="0.3">
      <c r="B30" t="s">
        <v>781</v>
      </c>
      <c r="C30" t="s">
        <v>636</v>
      </c>
      <c r="D30" t="s">
        <v>296</v>
      </c>
      <c r="E30" t="s">
        <v>442</v>
      </c>
      <c r="F30" t="s">
        <v>294</v>
      </c>
      <c r="G30" t="s">
        <v>569</v>
      </c>
    </row>
    <row r="31" spans="2:7" x14ac:dyDescent="0.3">
      <c r="B31" t="s">
        <v>782</v>
      </c>
      <c r="C31" t="s">
        <v>640</v>
      </c>
      <c r="D31" t="s">
        <v>297</v>
      </c>
      <c r="E31" t="s">
        <v>443</v>
      </c>
      <c r="F31" t="s">
        <v>294</v>
      </c>
      <c r="G31" t="s">
        <v>569</v>
      </c>
    </row>
    <row r="32" spans="2:7" x14ac:dyDescent="0.3">
      <c r="B32" t="s">
        <v>783</v>
      </c>
      <c r="C32" t="s">
        <v>643</v>
      </c>
      <c r="D32" t="s">
        <v>298</v>
      </c>
      <c r="E32" t="s">
        <v>507</v>
      </c>
      <c r="F32" t="s">
        <v>294</v>
      </c>
      <c r="G32" t="s">
        <v>569</v>
      </c>
    </row>
    <row r="33" spans="2:7" x14ac:dyDescent="0.3">
      <c r="B33" t="s">
        <v>784</v>
      </c>
      <c r="C33" t="s">
        <v>655</v>
      </c>
      <c r="D33" t="s">
        <v>299</v>
      </c>
      <c r="E33" t="s">
        <v>519</v>
      </c>
      <c r="F33" t="s">
        <v>294</v>
      </c>
      <c r="G33" t="s">
        <v>569</v>
      </c>
    </row>
    <row r="34" spans="2:7" x14ac:dyDescent="0.3">
      <c r="B34" t="s">
        <v>785</v>
      </c>
      <c r="C34" t="s">
        <v>666</v>
      </c>
      <c r="D34" t="s">
        <v>300</v>
      </c>
      <c r="E34" t="s">
        <v>528</v>
      </c>
      <c r="F34" t="s">
        <v>294</v>
      </c>
      <c r="G34" t="s">
        <v>569</v>
      </c>
    </row>
    <row r="35" spans="2:7" x14ac:dyDescent="0.3">
      <c r="B35" t="s">
        <v>786</v>
      </c>
      <c r="C35" t="s">
        <v>677</v>
      </c>
      <c r="D35" t="s">
        <v>301</v>
      </c>
      <c r="E35" t="s">
        <v>541</v>
      </c>
      <c r="F35" t="s">
        <v>294</v>
      </c>
      <c r="G35" t="s">
        <v>569</v>
      </c>
    </row>
    <row r="36" spans="2:7" x14ac:dyDescent="0.3">
      <c r="B36" t="s">
        <v>787</v>
      </c>
      <c r="C36" t="s">
        <v>682</v>
      </c>
      <c r="D36" t="s">
        <v>302</v>
      </c>
      <c r="E36" t="s">
        <v>552</v>
      </c>
      <c r="F36" t="s">
        <v>294</v>
      </c>
      <c r="G36" t="s">
        <v>569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01B6-BC5A-41A0-99C2-CAB456F14317}">
  <dimension ref="A1:F92"/>
  <sheetViews>
    <sheetView workbookViewId="0">
      <selection activeCell="C24" sqref="C24"/>
    </sheetView>
  </sheetViews>
  <sheetFormatPr defaultRowHeight="14" x14ac:dyDescent="0.3"/>
  <cols>
    <col min="1" max="1" width="14.08203125" bestFit="1" customWidth="1"/>
    <col min="2" max="2" width="42.25" bestFit="1" customWidth="1"/>
    <col min="3" max="3" width="13.5" bestFit="1" customWidth="1"/>
    <col min="4" max="4" width="24.5" bestFit="1" customWidth="1"/>
    <col min="5" max="5" width="13.5" bestFit="1" customWidth="1"/>
    <col min="6" max="6" width="26.58203125" customWidth="1"/>
  </cols>
  <sheetData>
    <row r="1" spans="1:6" x14ac:dyDescent="0.3">
      <c r="A1" t="s">
        <v>776</v>
      </c>
      <c r="B1" t="s">
        <v>778</v>
      </c>
      <c r="C1" t="s">
        <v>446</v>
      </c>
      <c r="D1" t="s">
        <v>447</v>
      </c>
      <c r="E1" t="s">
        <v>448</v>
      </c>
      <c r="F1" t="s">
        <v>449</v>
      </c>
    </row>
    <row r="2" spans="1:6" x14ac:dyDescent="0.3">
      <c r="A2" t="s">
        <v>744</v>
      </c>
      <c r="B2" t="s">
        <v>775</v>
      </c>
      <c r="C2" t="s">
        <v>294</v>
      </c>
      <c r="D2" t="s">
        <v>450</v>
      </c>
      <c r="E2" t="s">
        <v>294</v>
      </c>
      <c r="F2" t="s">
        <v>569</v>
      </c>
    </row>
    <row r="3" spans="1:6" x14ac:dyDescent="0.3">
      <c r="A3" t="s">
        <v>780</v>
      </c>
      <c r="B3" t="s">
        <v>624</v>
      </c>
      <c r="C3" t="s">
        <v>295</v>
      </c>
      <c r="D3" t="s">
        <v>430</v>
      </c>
      <c r="E3" t="s">
        <v>294</v>
      </c>
      <c r="F3" t="s">
        <v>569</v>
      </c>
    </row>
    <row r="4" spans="1:6" x14ac:dyDescent="0.3">
      <c r="A4" t="s">
        <v>781</v>
      </c>
      <c r="B4" t="s">
        <v>636</v>
      </c>
      <c r="C4" t="s">
        <v>296</v>
      </c>
      <c r="D4" t="s">
        <v>442</v>
      </c>
      <c r="E4" t="s">
        <v>294</v>
      </c>
      <c r="F4" t="s">
        <v>569</v>
      </c>
    </row>
    <row r="5" spans="1:6" x14ac:dyDescent="0.3">
      <c r="A5" t="s">
        <v>782</v>
      </c>
      <c r="B5" t="s">
        <v>640</v>
      </c>
      <c r="C5" t="s">
        <v>297</v>
      </c>
      <c r="D5" t="s">
        <v>443</v>
      </c>
      <c r="E5" t="s">
        <v>294</v>
      </c>
      <c r="F5" t="s">
        <v>569</v>
      </c>
    </row>
    <row r="6" spans="1:6" x14ac:dyDescent="0.3">
      <c r="A6" t="s">
        <v>783</v>
      </c>
      <c r="B6" t="s">
        <v>643</v>
      </c>
      <c r="C6" t="s">
        <v>298</v>
      </c>
      <c r="D6" t="s">
        <v>507</v>
      </c>
      <c r="E6" t="s">
        <v>294</v>
      </c>
      <c r="F6" t="s">
        <v>569</v>
      </c>
    </row>
    <row r="7" spans="1:6" x14ac:dyDescent="0.3">
      <c r="A7" t="s">
        <v>784</v>
      </c>
      <c r="B7" t="s">
        <v>655</v>
      </c>
      <c r="C7" t="s">
        <v>299</v>
      </c>
      <c r="D7" t="s">
        <v>519</v>
      </c>
      <c r="E7" t="s">
        <v>294</v>
      </c>
      <c r="F7" t="s">
        <v>569</v>
      </c>
    </row>
    <row r="8" spans="1:6" x14ac:dyDescent="0.3">
      <c r="A8" t="s">
        <v>785</v>
      </c>
      <c r="B8" t="s">
        <v>666</v>
      </c>
      <c r="C8" t="s">
        <v>300</v>
      </c>
      <c r="D8" t="s">
        <v>528</v>
      </c>
      <c r="E8" t="s">
        <v>294</v>
      </c>
      <c r="F8" t="s">
        <v>569</v>
      </c>
    </row>
    <row r="9" spans="1:6" x14ac:dyDescent="0.3">
      <c r="A9" t="s">
        <v>786</v>
      </c>
      <c r="B9" t="s">
        <v>677</v>
      </c>
      <c r="C9" t="s">
        <v>301</v>
      </c>
      <c r="D9" t="s">
        <v>541</v>
      </c>
      <c r="E9" t="s">
        <v>294</v>
      </c>
      <c r="F9" t="s">
        <v>569</v>
      </c>
    </row>
    <row r="10" spans="1:6" x14ac:dyDescent="0.3">
      <c r="A10" t="s">
        <v>787</v>
      </c>
      <c r="B10" t="s">
        <v>682</v>
      </c>
      <c r="C10" t="s">
        <v>302</v>
      </c>
      <c r="D10" t="s">
        <v>552</v>
      </c>
      <c r="E10" t="s">
        <v>294</v>
      </c>
      <c r="F10" t="s">
        <v>569</v>
      </c>
    </row>
    <row r="11" spans="1:6" x14ac:dyDescent="0.3">
      <c r="A11" t="s">
        <v>714</v>
      </c>
      <c r="B11" t="s">
        <v>745</v>
      </c>
      <c r="C11" t="s">
        <v>294</v>
      </c>
      <c r="D11" t="s">
        <v>450</v>
      </c>
      <c r="E11" t="s">
        <v>295</v>
      </c>
      <c r="F11" t="s">
        <v>10</v>
      </c>
    </row>
    <row r="12" spans="1:6" x14ac:dyDescent="0.3">
      <c r="A12" t="s">
        <v>715</v>
      </c>
      <c r="B12" t="s">
        <v>746</v>
      </c>
      <c r="C12" t="s">
        <v>294</v>
      </c>
      <c r="D12" t="s">
        <v>450</v>
      </c>
      <c r="E12" t="s">
        <v>296</v>
      </c>
      <c r="F12" t="s">
        <v>30</v>
      </c>
    </row>
    <row r="13" spans="1:6" x14ac:dyDescent="0.3">
      <c r="A13" t="s">
        <v>716</v>
      </c>
      <c r="B13" t="s">
        <v>747</v>
      </c>
      <c r="C13" t="s">
        <v>294</v>
      </c>
      <c r="D13" t="s">
        <v>450</v>
      </c>
      <c r="E13" t="s">
        <v>297</v>
      </c>
      <c r="F13" t="s">
        <v>451</v>
      </c>
    </row>
    <row r="14" spans="1:6" x14ac:dyDescent="0.3">
      <c r="A14" t="s">
        <v>717</v>
      </c>
      <c r="B14" t="s">
        <v>748</v>
      </c>
      <c r="C14" t="s">
        <v>294</v>
      </c>
      <c r="D14" t="s">
        <v>450</v>
      </c>
      <c r="E14" t="s">
        <v>298</v>
      </c>
      <c r="F14" t="s">
        <v>452</v>
      </c>
    </row>
    <row r="15" spans="1:6" x14ac:dyDescent="0.3">
      <c r="A15" t="s">
        <v>718</v>
      </c>
      <c r="B15" t="s">
        <v>749</v>
      </c>
      <c r="C15" t="s">
        <v>294</v>
      </c>
      <c r="D15" t="s">
        <v>450</v>
      </c>
      <c r="E15" t="s">
        <v>299</v>
      </c>
      <c r="F15" t="s">
        <v>453</v>
      </c>
    </row>
    <row r="16" spans="1:6" x14ac:dyDescent="0.3">
      <c r="A16" t="s">
        <v>719</v>
      </c>
      <c r="B16" t="s">
        <v>750</v>
      </c>
      <c r="C16" t="s">
        <v>294</v>
      </c>
      <c r="D16" t="s">
        <v>450</v>
      </c>
      <c r="E16" t="s">
        <v>300</v>
      </c>
      <c r="F16" t="s">
        <v>454</v>
      </c>
    </row>
    <row r="17" spans="1:6" x14ac:dyDescent="0.3">
      <c r="A17" t="s">
        <v>720</v>
      </c>
      <c r="B17" t="s">
        <v>751</v>
      </c>
      <c r="C17" t="s">
        <v>294</v>
      </c>
      <c r="D17" t="s">
        <v>450</v>
      </c>
      <c r="E17" t="s">
        <v>301</v>
      </c>
      <c r="F17" t="s">
        <v>455</v>
      </c>
    </row>
    <row r="18" spans="1:6" x14ac:dyDescent="0.3">
      <c r="A18" t="s">
        <v>721</v>
      </c>
      <c r="B18" t="s">
        <v>752</v>
      </c>
      <c r="C18" t="s">
        <v>294</v>
      </c>
      <c r="D18" t="s">
        <v>450</v>
      </c>
      <c r="E18" t="s">
        <v>302</v>
      </c>
      <c r="F18" t="s">
        <v>456</v>
      </c>
    </row>
    <row r="19" spans="1:6" x14ac:dyDescent="0.3">
      <c r="A19" t="s">
        <v>722</v>
      </c>
      <c r="B19" t="s">
        <v>753</v>
      </c>
      <c r="C19" t="s">
        <v>294</v>
      </c>
      <c r="D19" t="s">
        <v>450</v>
      </c>
      <c r="E19" t="s">
        <v>303</v>
      </c>
      <c r="F19" t="s">
        <v>92</v>
      </c>
    </row>
    <row r="20" spans="1:6" x14ac:dyDescent="0.3">
      <c r="A20" t="s">
        <v>723</v>
      </c>
      <c r="B20" t="s">
        <v>754</v>
      </c>
      <c r="C20" t="s">
        <v>294</v>
      </c>
      <c r="D20" t="s">
        <v>450</v>
      </c>
      <c r="E20" t="s">
        <v>304</v>
      </c>
      <c r="F20" t="s">
        <v>457</v>
      </c>
    </row>
    <row r="21" spans="1:6" x14ac:dyDescent="0.3">
      <c r="A21" t="s">
        <v>724</v>
      </c>
      <c r="B21" t="s">
        <v>755</v>
      </c>
      <c r="C21" t="s">
        <v>294</v>
      </c>
      <c r="D21" t="s">
        <v>450</v>
      </c>
      <c r="E21" t="s">
        <v>305</v>
      </c>
      <c r="F21" t="s">
        <v>458</v>
      </c>
    </row>
    <row r="22" spans="1:6" x14ac:dyDescent="0.3">
      <c r="A22" t="s">
        <v>725</v>
      </c>
      <c r="B22" t="s">
        <v>756</v>
      </c>
      <c r="C22" t="s">
        <v>294</v>
      </c>
      <c r="D22" t="s">
        <v>450</v>
      </c>
      <c r="E22" t="s">
        <v>306</v>
      </c>
      <c r="F22" t="s">
        <v>459</v>
      </c>
    </row>
    <row r="23" spans="1:6" x14ac:dyDescent="0.3">
      <c r="A23" t="s">
        <v>726</v>
      </c>
      <c r="B23" t="s">
        <v>757</v>
      </c>
      <c r="C23" t="s">
        <v>294</v>
      </c>
      <c r="D23" t="s">
        <v>450</v>
      </c>
      <c r="E23" t="s">
        <v>307</v>
      </c>
      <c r="F23" t="s">
        <v>460</v>
      </c>
    </row>
    <row r="24" spans="1:6" x14ac:dyDescent="0.3">
      <c r="A24" t="s">
        <v>727</v>
      </c>
      <c r="B24" t="s">
        <v>758</v>
      </c>
      <c r="C24" t="s">
        <v>294</v>
      </c>
      <c r="D24" t="s">
        <v>450</v>
      </c>
      <c r="E24" t="s">
        <v>308</v>
      </c>
      <c r="F24" t="s">
        <v>461</v>
      </c>
    </row>
    <row r="25" spans="1:6" x14ac:dyDescent="0.3">
      <c r="A25" t="s">
        <v>728</v>
      </c>
      <c r="B25" t="s">
        <v>759</v>
      </c>
      <c r="C25" t="s">
        <v>294</v>
      </c>
      <c r="D25" t="s">
        <v>450</v>
      </c>
      <c r="E25" t="s">
        <v>309</v>
      </c>
      <c r="F25" t="s">
        <v>462</v>
      </c>
    </row>
    <row r="26" spans="1:6" x14ac:dyDescent="0.3">
      <c r="A26" t="s">
        <v>729</v>
      </c>
      <c r="B26" t="s">
        <v>760</v>
      </c>
      <c r="C26" t="s">
        <v>294</v>
      </c>
      <c r="D26" t="s">
        <v>450</v>
      </c>
      <c r="E26" t="s">
        <v>310</v>
      </c>
      <c r="F26" t="s">
        <v>144</v>
      </c>
    </row>
    <row r="27" spans="1:6" x14ac:dyDescent="0.3">
      <c r="A27" t="s">
        <v>730</v>
      </c>
      <c r="B27" t="s">
        <v>761</v>
      </c>
      <c r="C27" t="s">
        <v>294</v>
      </c>
      <c r="D27" t="s">
        <v>450</v>
      </c>
      <c r="E27" t="s">
        <v>311</v>
      </c>
      <c r="F27" t="s">
        <v>463</v>
      </c>
    </row>
    <row r="28" spans="1:6" x14ac:dyDescent="0.3">
      <c r="A28" t="s">
        <v>731</v>
      </c>
      <c r="B28" t="s">
        <v>762</v>
      </c>
      <c r="C28" t="s">
        <v>294</v>
      </c>
      <c r="D28" t="s">
        <v>450</v>
      </c>
      <c r="E28" t="s">
        <v>312</v>
      </c>
      <c r="F28" t="s">
        <v>163</v>
      </c>
    </row>
    <row r="29" spans="1:6" x14ac:dyDescent="0.3">
      <c r="A29" t="s">
        <v>732</v>
      </c>
      <c r="B29" t="s">
        <v>763</v>
      </c>
      <c r="C29" t="s">
        <v>294</v>
      </c>
      <c r="D29" t="s">
        <v>450</v>
      </c>
      <c r="E29" t="s">
        <v>313</v>
      </c>
      <c r="F29" t="s">
        <v>167</v>
      </c>
    </row>
    <row r="30" spans="1:6" x14ac:dyDescent="0.3">
      <c r="A30" t="s">
        <v>733</v>
      </c>
      <c r="B30" t="s">
        <v>764</v>
      </c>
      <c r="C30" t="s">
        <v>294</v>
      </c>
      <c r="D30" t="s">
        <v>450</v>
      </c>
      <c r="E30" t="s">
        <v>314</v>
      </c>
      <c r="F30" t="s">
        <v>175</v>
      </c>
    </row>
    <row r="31" spans="1:6" x14ac:dyDescent="0.3">
      <c r="A31" t="s">
        <v>734</v>
      </c>
      <c r="B31" t="s">
        <v>765</v>
      </c>
      <c r="C31" t="s">
        <v>294</v>
      </c>
      <c r="D31" t="s">
        <v>450</v>
      </c>
      <c r="E31" t="s">
        <v>315</v>
      </c>
      <c r="F31" t="s">
        <v>189</v>
      </c>
    </row>
    <row r="32" spans="1:6" x14ac:dyDescent="0.3">
      <c r="A32" t="s">
        <v>735</v>
      </c>
      <c r="B32" t="s">
        <v>766</v>
      </c>
      <c r="C32" t="s">
        <v>294</v>
      </c>
      <c r="D32" t="s">
        <v>450</v>
      </c>
      <c r="E32" t="s">
        <v>316</v>
      </c>
      <c r="F32" t="s">
        <v>464</v>
      </c>
    </row>
    <row r="33" spans="1:6" x14ac:dyDescent="0.3">
      <c r="A33" t="s">
        <v>736</v>
      </c>
      <c r="B33" t="s">
        <v>767</v>
      </c>
      <c r="C33" t="s">
        <v>294</v>
      </c>
      <c r="D33" t="s">
        <v>450</v>
      </c>
      <c r="E33" t="s">
        <v>317</v>
      </c>
      <c r="F33" t="s">
        <v>465</v>
      </c>
    </row>
    <row r="34" spans="1:6" x14ac:dyDescent="0.3">
      <c r="A34" t="s">
        <v>737</v>
      </c>
      <c r="B34" t="s">
        <v>768</v>
      </c>
      <c r="C34" t="s">
        <v>294</v>
      </c>
      <c r="D34" t="s">
        <v>450</v>
      </c>
      <c r="E34" t="s">
        <v>318</v>
      </c>
      <c r="F34" t="s">
        <v>466</v>
      </c>
    </row>
    <row r="35" spans="1:6" x14ac:dyDescent="0.3">
      <c r="A35" t="s">
        <v>738</v>
      </c>
      <c r="B35" t="s">
        <v>769</v>
      </c>
      <c r="C35" t="s">
        <v>294</v>
      </c>
      <c r="D35" t="s">
        <v>450</v>
      </c>
      <c r="E35" t="s">
        <v>319</v>
      </c>
      <c r="F35" t="s">
        <v>467</v>
      </c>
    </row>
    <row r="36" spans="1:6" x14ac:dyDescent="0.3">
      <c r="A36" t="s">
        <v>739</v>
      </c>
      <c r="B36" t="s">
        <v>770</v>
      </c>
      <c r="C36" t="s">
        <v>294</v>
      </c>
      <c r="D36" t="s">
        <v>450</v>
      </c>
      <c r="E36" t="s">
        <v>320</v>
      </c>
      <c r="F36" t="s">
        <v>468</v>
      </c>
    </row>
    <row r="37" spans="1:6" x14ac:dyDescent="0.3">
      <c r="A37" t="s">
        <v>740</v>
      </c>
      <c r="B37" t="s">
        <v>771</v>
      </c>
      <c r="C37" t="s">
        <v>294</v>
      </c>
      <c r="D37" t="s">
        <v>450</v>
      </c>
      <c r="E37" t="s">
        <v>321</v>
      </c>
      <c r="F37" t="s">
        <v>251</v>
      </c>
    </row>
    <row r="38" spans="1:6" x14ac:dyDescent="0.3">
      <c r="A38" t="s">
        <v>741</v>
      </c>
      <c r="B38" t="s">
        <v>772</v>
      </c>
      <c r="C38" t="s">
        <v>294</v>
      </c>
      <c r="D38" t="s">
        <v>450</v>
      </c>
      <c r="E38" t="s">
        <v>322</v>
      </c>
      <c r="F38" t="s">
        <v>260</v>
      </c>
    </row>
    <row r="39" spans="1:6" x14ac:dyDescent="0.3">
      <c r="A39" t="s">
        <v>742</v>
      </c>
      <c r="B39" t="s">
        <v>773</v>
      </c>
      <c r="C39" t="s">
        <v>294</v>
      </c>
      <c r="D39" t="s">
        <v>450</v>
      </c>
      <c r="E39" t="s">
        <v>323</v>
      </c>
      <c r="F39" t="s">
        <v>272</v>
      </c>
    </row>
    <row r="40" spans="1:6" x14ac:dyDescent="0.3">
      <c r="A40" t="s">
        <v>743</v>
      </c>
      <c r="B40" t="s">
        <v>774</v>
      </c>
      <c r="C40" t="s">
        <v>294</v>
      </c>
      <c r="D40" t="s">
        <v>450</v>
      </c>
      <c r="E40" t="s">
        <v>324</v>
      </c>
      <c r="F40" t="s">
        <v>292</v>
      </c>
    </row>
    <row r="41" spans="1:6" x14ac:dyDescent="0.3">
      <c r="A41" t="s">
        <v>572</v>
      </c>
      <c r="B41" t="s">
        <v>625</v>
      </c>
      <c r="C41" t="s">
        <v>295</v>
      </c>
      <c r="D41" t="s">
        <v>430</v>
      </c>
      <c r="E41" t="s">
        <v>295</v>
      </c>
      <c r="F41" t="s">
        <v>431</v>
      </c>
    </row>
    <row r="42" spans="1:6" x14ac:dyDescent="0.3">
      <c r="A42" t="s">
        <v>573</v>
      </c>
      <c r="B42" t="s">
        <v>626</v>
      </c>
      <c r="C42" t="s">
        <v>295</v>
      </c>
      <c r="D42" t="s">
        <v>430</v>
      </c>
      <c r="E42" t="s">
        <v>296</v>
      </c>
      <c r="F42" t="s">
        <v>432</v>
      </c>
    </row>
    <row r="43" spans="1:6" x14ac:dyDescent="0.3">
      <c r="A43" t="s">
        <v>574</v>
      </c>
      <c r="B43" t="s">
        <v>627</v>
      </c>
      <c r="C43" t="s">
        <v>295</v>
      </c>
      <c r="D43" t="s">
        <v>430</v>
      </c>
      <c r="E43" t="s">
        <v>297</v>
      </c>
      <c r="F43" t="s">
        <v>433</v>
      </c>
    </row>
    <row r="44" spans="1:6" x14ac:dyDescent="0.3">
      <c r="A44" t="s">
        <v>575</v>
      </c>
      <c r="B44" t="s">
        <v>628</v>
      </c>
      <c r="C44" t="s">
        <v>295</v>
      </c>
      <c r="D44" t="s">
        <v>430</v>
      </c>
      <c r="E44" t="s">
        <v>298</v>
      </c>
      <c r="F44" t="s">
        <v>434</v>
      </c>
    </row>
    <row r="45" spans="1:6" x14ac:dyDescent="0.3">
      <c r="A45" t="s">
        <v>576</v>
      </c>
      <c r="B45" t="s">
        <v>629</v>
      </c>
      <c r="C45" t="s">
        <v>295</v>
      </c>
      <c r="D45" t="s">
        <v>430</v>
      </c>
      <c r="E45" t="s">
        <v>299</v>
      </c>
      <c r="F45" t="s">
        <v>435</v>
      </c>
    </row>
    <row r="46" spans="1:6" x14ac:dyDescent="0.3">
      <c r="A46" t="s">
        <v>577</v>
      </c>
      <c r="B46" t="s">
        <v>630</v>
      </c>
      <c r="C46" t="s">
        <v>295</v>
      </c>
      <c r="D46" t="s">
        <v>430</v>
      </c>
      <c r="E46" t="s">
        <v>300</v>
      </c>
      <c r="F46" t="s">
        <v>436</v>
      </c>
    </row>
    <row r="47" spans="1:6" x14ac:dyDescent="0.3">
      <c r="A47" t="s">
        <v>578</v>
      </c>
      <c r="B47" t="s">
        <v>631</v>
      </c>
      <c r="C47" t="s">
        <v>295</v>
      </c>
      <c r="D47" t="s">
        <v>430</v>
      </c>
      <c r="E47" t="s">
        <v>301</v>
      </c>
      <c r="F47" t="s">
        <v>437</v>
      </c>
    </row>
    <row r="48" spans="1:6" x14ac:dyDescent="0.3">
      <c r="A48" t="s">
        <v>579</v>
      </c>
      <c r="B48" t="s">
        <v>632</v>
      </c>
      <c r="C48" t="s">
        <v>295</v>
      </c>
      <c r="D48" t="s">
        <v>430</v>
      </c>
      <c r="E48" t="s">
        <v>302</v>
      </c>
      <c r="F48" t="s">
        <v>438</v>
      </c>
    </row>
    <row r="49" spans="1:6" x14ac:dyDescent="0.3">
      <c r="A49" t="s">
        <v>580</v>
      </c>
      <c r="B49" t="s">
        <v>633</v>
      </c>
      <c r="C49" t="s">
        <v>295</v>
      </c>
      <c r="D49" t="s">
        <v>430</v>
      </c>
      <c r="E49" t="s">
        <v>303</v>
      </c>
      <c r="F49" t="s">
        <v>439</v>
      </c>
    </row>
    <row r="50" spans="1:6" x14ac:dyDescent="0.3">
      <c r="A50" t="s">
        <v>581</v>
      </c>
      <c r="B50" t="s">
        <v>634</v>
      </c>
      <c r="C50" t="s">
        <v>295</v>
      </c>
      <c r="D50" t="s">
        <v>430</v>
      </c>
      <c r="E50" t="s">
        <v>304</v>
      </c>
      <c r="F50" t="s">
        <v>440</v>
      </c>
    </row>
    <row r="51" spans="1:6" x14ac:dyDescent="0.3">
      <c r="A51" t="s">
        <v>582</v>
      </c>
      <c r="B51" t="s">
        <v>635</v>
      </c>
      <c r="C51" t="s">
        <v>295</v>
      </c>
      <c r="D51" t="s">
        <v>430</v>
      </c>
      <c r="E51" t="s">
        <v>305</v>
      </c>
      <c r="F51" t="s">
        <v>441</v>
      </c>
    </row>
    <row r="52" spans="1:6" x14ac:dyDescent="0.3">
      <c r="A52" t="s">
        <v>583</v>
      </c>
      <c r="B52" t="s">
        <v>637</v>
      </c>
      <c r="C52" t="s">
        <v>296</v>
      </c>
      <c r="D52" t="s">
        <v>442</v>
      </c>
      <c r="E52" t="s">
        <v>295</v>
      </c>
      <c r="F52" t="s">
        <v>431</v>
      </c>
    </row>
    <row r="53" spans="1:6" x14ac:dyDescent="0.3">
      <c r="A53" t="s">
        <v>584</v>
      </c>
      <c r="B53" t="s">
        <v>638</v>
      </c>
      <c r="C53" t="s">
        <v>296</v>
      </c>
      <c r="D53" t="s">
        <v>442</v>
      </c>
      <c r="E53" t="s">
        <v>296</v>
      </c>
      <c r="F53" t="s">
        <v>432</v>
      </c>
    </row>
    <row r="54" spans="1:6" x14ac:dyDescent="0.3">
      <c r="A54" t="s">
        <v>585</v>
      </c>
      <c r="B54" t="s">
        <v>639</v>
      </c>
      <c r="C54" t="s">
        <v>296</v>
      </c>
      <c r="D54" t="s">
        <v>442</v>
      </c>
      <c r="E54" t="s">
        <v>300</v>
      </c>
      <c r="F54" t="s">
        <v>436</v>
      </c>
    </row>
    <row r="55" spans="1:6" x14ac:dyDescent="0.3">
      <c r="A55" t="s">
        <v>586</v>
      </c>
      <c r="B55" t="s">
        <v>641</v>
      </c>
      <c r="C55" t="s">
        <v>297</v>
      </c>
      <c r="D55" t="s">
        <v>443</v>
      </c>
      <c r="E55" t="s">
        <v>296</v>
      </c>
      <c r="F55" t="s">
        <v>432</v>
      </c>
    </row>
    <row r="56" spans="1:6" x14ac:dyDescent="0.3">
      <c r="A56" t="s">
        <v>587</v>
      </c>
      <c r="B56" t="s">
        <v>642</v>
      </c>
      <c r="C56" t="s">
        <v>297</v>
      </c>
      <c r="D56" t="s">
        <v>443</v>
      </c>
      <c r="E56" t="s">
        <v>300</v>
      </c>
      <c r="F56" t="s">
        <v>436</v>
      </c>
    </row>
    <row r="57" spans="1:6" x14ac:dyDescent="0.3">
      <c r="A57" t="s">
        <v>588</v>
      </c>
      <c r="B57" t="s">
        <v>644</v>
      </c>
      <c r="C57" t="s">
        <v>298</v>
      </c>
      <c r="D57" t="s">
        <v>507</v>
      </c>
      <c r="E57" t="s">
        <v>295</v>
      </c>
      <c r="F57" t="s">
        <v>431</v>
      </c>
    </row>
    <row r="58" spans="1:6" x14ac:dyDescent="0.3">
      <c r="A58" t="s">
        <v>589</v>
      </c>
      <c r="B58" t="s">
        <v>645</v>
      </c>
      <c r="C58" t="s">
        <v>298</v>
      </c>
      <c r="D58" t="s">
        <v>507</v>
      </c>
      <c r="E58" t="s">
        <v>296</v>
      </c>
      <c r="F58" t="s">
        <v>432</v>
      </c>
    </row>
    <row r="59" spans="1:6" x14ac:dyDescent="0.3">
      <c r="A59" t="s">
        <v>590</v>
      </c>
      <c r="B59" t="s">
        <v>646</v>
      </c>
      <c r="C59" t="s">
        <v>298</v>
      </c>
      <c r="D59" t="s">
        <v>507</v>
      </c>
      <c r="E59" t="s">
        <v>297</v>
      </c>
      <c r="F59" t="s">
        <v>433</v>
      </c>
    </row>
    <row r="60" spans="1:6" x14ac:dyDescent="0.3">
      <c r="A60" t="s">
        <v>591</v>
      </c>
      <c r="B60" t="s">
        <v>647</v>
      </c>
      <c r="C60" t="s">
        <v>298</v>
      </c>
      <c r="D60" t="s">
        <v>507</v>
      </c>
      <c r="E60" t="s">
        <v>298</v>
      </c>
      <c r="F60" t="s">
        <v>434</v>
      </c>
    </row>
    <row r="61" spans="1:6" x14ac:dyDescent="0.3">
      <c r="A61" t="s">
        <v>592</v>
      </c>
      <c r="B61" t="s">
        <v>648</v>
      </c>
      <c r="C61" t="s">
        <v>298</v>
      </c>
      <c r="D61" t="s">
        <v>507</v>
      </c>
      <c r="E61" t="s">
        <v>299</v>
      </c>
      <c r="F61" t="s">
        <v>435</v>
      </c>
    </row>
    <row r="62" spans="1:6" x14ac:dyDescent="0.3">
      <c r="A62" t="s">
        <v>593</v>
      </c>
      <c r="B62" t="s">
        <v>649</v>
      </c>
      <c r="C62" t="s">
        <v>298</v>
      </c>
      <c r="D62" t="s">
        <v>507</v>
      </c>
      <c r="E62" t="s">
        <v>300</v>
      </c>
      <c r="F62" t="s">
        <v>436</v>
      </c>
    </row>
    <row r="63" spans="1:6" x14ac:dyDescent="0.3">
      <c r="A63" t="s">
        <v>594</v>
      </c>
      <c r="B63" t="s">
        <v>650</v>
      </c>
      <c r="C63" t="s">
        <v>298</v>
      </c>
      <c r="D63" t="s">
        <v>507</v>
      </c>
      <c r="E63" t="s">
        <v>301</v>
      </c>
      <c r="F63" t="s">
        <v>437</v>
      </c>
    </row>
    <row r="64" spans="1:6" x14ac:dyDescent="0.3">
      <c r="A64" t="s">
        <v>595</v>
      </c>
      <c r="B64" t="s">
        <v>651</v>
      </c>
      <c r="C64" t="s">
        <v>298</v>
      </c>
      <c r="D64" t="s">
        <v>507</v>
      </c>
      <c r="E64" t="s">
        <v>302</v>
      </c>
      <c r="F64" t="s">
        <v>438</v>
      </c>
    </row>
    <row r="65" spans="1:6" x14ac:dyDescent="0.3">
      <c r="A65" t="s">
        <v>596</v>
      </c>
      <c r="B65" t="s">
        <v>652</v>
      </c>
      <c r="C65" t="s">
        <v>298</v>
      </c>
      <c r="D65" t="s">
        <v>507</v>
      </c>
      <c r="E65" t="s">
        <v>303</v>
      </c>
      <c r="F65" t="s">
        <v>439</v>
      </c>
    </row>
    <row r="66" spans="1:6" x14ac:dyDescent="0.3">
      <c r="A66" t="s">
        <v>597</v>
      </c>
      <c r="B66" t="s">
        <v>653</v>
      </c>
      <c r="C66" t="s">
        <v>298</v>
      </c>
      <c r="D66" t="s">
        <v>507</v>
      </c>
      <c r="E66" t="s">
        <v>304</v>
      </c>
      <c r="F66" t="s">
        <v>440</v>
      </c>
    </row>
    <row r="67" spans="1:6" x14ac:dyDescent="0.3">
      <c r="A67" t="s">
        <v>598</v>
      </c>
      <c r="B67" t="s">
        <v>654</v>
      </c>
      <c r="C67" t="s">
        <v>298</v>
      </c>
      <c r="D67" t="s">
        <v>507</v>
      </c>
      <c r="E67" t="s">
        <v>305</v>
      </c>
      <c r="F67" t="s">
        <v>441</v>
      </c>
    </row>
    <row r="68" spans="1:6" x14ac:dyDescent="0.3">
      <c r="A68" t="s">
        <v>599</v>
      </c>
      <c r="B68" t="s">
        <v>656</v>
      </c>
      <c r="C68" t="s">
        <v>299</v>
      </c>
      <c r="D68" t="s">
        <v>519</v>
      </c>
      <c r="E68" t="s">
        <v>296</v>
      </c>
      <c r="F68" t="s">
        <v>432</v>
      </c>
    </row>
    <row r="69" spans="1:6" x14ac:dyDescent="0.3">
      <c r="A69" t="s">
        <v>600</v>
      </c>
      <c r="B69" t="s">
        <v>657</v>
      </c>
      <c r="C69" t="s">
        <v>299</v>
      </c>
      <c r="D69" t="s">
        <v>519</v>
      </c>
      <c r="E69" t="s">
        <v>297</v>
      </c>
      <c r="F69" t="s">
        <v>433</v>
      </c>
    </row>
    <row r="70" spans="1:6" x14ac:dyDescent="0.3">
      <c r="A70" t="s">
        <v>601</v>
      </c>
      <c r="B70" t="s">
        <v>658</v>
      </c>
      <c r="C70" t="s">
        <v>299</v>
      </c>
      <c r="D70" t="s">
        <v>519</v>
      </c>
      <c r="E70" t="s">
        <v>298</v>
      </c>
      <c r="F70" t="s">
        <v>434</v>
      </c>
    </row>
    <row r="71" spans="1:6" x14ac:dyDescent="0.3">
      <c r="A71" t="s">
        <v>602</v>
      </c>
      <c r="B71" t="s">
        <v>659</v>
      </c>
      <c r="C71" t="s">
        <v>299</v>
      </c>
      <c r="D71" t="s">
        <v>519</v>
      </c>
      <c r="E71" t="s">
        <v>299</v>
      </c>
      <c r="F71" t="s">
        <v>435</v>
      </c>
    </row>
    <row r="72" spans="1:6" x14ac:dyDescent="0.3">
      <c r="A72" t="s">
        <v>603</v>
      </c>
      <c r="B72" t="s">
        <v>660</v>
      </c>
      <c r="C72" t="s">
        <v>299</v>
      </c>
      <c r="D72" t="s">
        <v>519</v>
      </c>
      <c r="E72" t="s">
        <v>300</v>
      </c>
      <c r="F72" t="s">
        <v>436</v>
      </c>
    </row>
    <row r="73" spans="1:6" x14ac:dyDescent="0.3">
      <c r="A73" t="s">
        <v>604</v>
      </c>
      <c r="B73" t="s">
        <v>661</v>
      </c>
      <c r="C73" t="s">
        <v>299</v>
      </c>
      <c r="D73" t="s">
        <v>519</v>
      </c>
      <c r="E73" t="s">
        <v>301</v>
      </c>
      <c r="F73" t="s">
        <v>437</v>
      </c>
    </row>
    <row r="74" spans="1:6" x14ac:dyDescent="0.3">
      <c r="A74" t="s">
        <v>605</v>
      </c>
      <c r="B74" t="s">
        <v>662</v>
      </c>
      <c r="C74" t="s">
        <v>299</v>
      </c>
      <c r="D74" t="s">
        <v>519</v>
      </c>
      <c r="E74" t="s">
        <v>302</v>
      </c>
      <c r="F74" t="s">
        <v>438</v>
      </c>
    </row>
    <row r="75" spans="1:6" x14ac:dyDescent="0.3">
      <c r="A75" t="s">
        <v>606</v>
      </c>
      <c r="B75" t="s">
        <v>663</v>
      </c>
      <c r="C75" t="s">
        <v>299</v>
      </c>
      <c r="D75" t="s">
        <v>519</v>
      </c>
      <c r="E75" t="s">
        <v>303</v>
      </c>
      <c r="F75" t="s">
        <v>439</v>
      </c>
    </row>
    <row r="76" spans="1:6" x14ac:dyDescent="0.3">
      <c r="A76" t="s">
        <v>607</v>
      </c>
      <c r="B76" t="s">
        <v>664</v>
      </c>
      <c r="C76" t="s">
        <v>299</v>
      </c>
      <c r="D76" t="s">
        <v>519</v>
      </c>
      <c r="E76" t="s">
        <v>304</v>
      </c>
      <c r="F76" t="s">
        <v>440</v>
      </c>
    </row>
    <row r="77" spans="1:6" x14ac:dyDescent="0.3">
      <c r="A77" t="s">
        <v>608</v>
      </c>
      <c r="B77" t="s">
        <v>665</v>
      </c>
      <c r="C77" t="s">
        <v>299</v>
      </c>
      <c r="D77" t="s">
        <v>519</v>
      </c>
      <c r="E77" t="s">
        <v>305</v>
      </c>
      <c r="F77" t="s">
        <v>441</v>
      </c>
    </row>
    <row r="78" spans="1:6" x14ac:dyDescent="0.3">
      <c r="A78" t="s">
        <v>609</v>
      </c>
      <c r="B78" t="s">
        <v>667</v>
      </c>
      <c r="C78" t="s">
        <v>300</v>
      </c>
      <c r="D78" t="s">
        <v>528</v>
      </c>
      <c r="E78" t="s">
        <v>295</v>
      </c>
      <c r="F78" t="s">
        <v>431</v>
      </c>
    </row>
    <row r="79" spans="1:6" x14ac:dyDescent="0.3">
      <c r="A79" t="s">
        <v>610</v>
      </c>
      <c r="B79" t="s">
        <v>668</v>
      </c>
      <c r="C79" t="s">
        <v>300</v>
      </c>
      <c r="D79" t="s">
        <v>528</v>
      </c>
      <c r="E79" t="s">
        <v>296</v>
      </c>
      <c r="F79" t="s">
        <v>432</v>
      </c>
    </row>
    <row r="80" spans="1:6" x14ac:dyDescent="0.3">
      <c r="A80" t="s">
        <v>611</v>
      </c>
      <c r="B80" t="s">
        <v>669</v>
      </c>
      <c r="C80" t="s">
        <v>300</v>
      </c>
      <c r="D80" t="s">
        <v>528</v>
      </c>
      <c r="E80" t="s">
        <v>297</v>
      </c>
      <c r="F80" t="s">
        <v>433</v>
      </c>
    </row>
    <row r="81" spans="1:6" x14ac:dyDescent="0.3">
      <c r="A81" t="s">
        <v>612</v>
      </c>
      <c r="B81" t="s">
        <v>670</v>
      </c>
      <c r="C81" t="s">
        <v>300</v>
      </c>
      <c r="D81" t="s">
        <v>528</v>
      </c>
      <c r="E81" t="s">
        <v>298</v>
      </c>
      <c r="F81" t="s">
        <v>434</v>
      </c>
    </row>
    <row r="82" spans="1:6" x14ac:dyDescent="0.3">
      <c r="A82" t="s">
        <v>613</v>
      </c>
      <c r="B82" t="s">
        <v>671</v>
      </c>
      <c r="C82" t="s">
        <v>300</v>
      </c>
      <c r="D82" t="s">
        <v>528</v>
      </c>
      <c r="E82" t="s">
        <v>299</v>
      </c>
      <c r="F82" t="s">
        <v>435</v>
      </c>
    </row>
    <row r="83" spans="1:6" x14ac:dyDescent="0.3">
      <c r="A83" t="s">
        <v>614</v>
      </c>
      <c r="B83" t="s">
        <v>672</v>
      </c>
      <c r="C83" t="s">
        <v>300</v>
      </c>
      <c r="D83" t="s">
        <v>528</v>
      </c>
      <c r="E83" t="s">
        <v>300</v>
      </c>
      <c r="F83" t="s">
        <v>436</v>
      </c>
    </row>
    <row r="84" spans="1:6" x14ac:dyDescent="0.3">
      <c r="A84" t="s">
        <v>615</v>
      </c>
      <c r="B84" t="s">
        <v>673</v>
      </c>
      <c r="C84" t="s">
        <v>300</v>
      </c>
      <c r="D84" t="s">
        <v>528</v>
      </c>
      <c r="E84" t="s">
        <v>301</v>
      </c>
      <c r="F84" t="s">
        <v>437</v>
      </c>
    </row>
    <row r="85" spans="1:6" x14ac:dyDescent="0.3">
      <c r="A85" t="s">
        <v>616</v>
      </c>
      <c r="B85" t="s">
        <v>674</v>
      </c>
      <c r="C85" t="s">
        <v>300</v>
      </c>
      <c r="D85" t="s">
        <v>528</v>
      </c>
      <c r="E85" t="s">
        <v>302</v>
      </c>
      <c r="F85" t="s">
        <v>438</v>
      </c>
    </row>
    <row r="86" spans="1:6" x14ac:dyDescent="0.3">
      <c r="A86" t="s">
        <v>617</v>
      </c>
      <c r="B86" t="s">
        <v>675</v>
      </c>
      <c r="C86" t="s">
        <v>300</v>
      </c>
      <c r="D86" t="s">
        <v>528</v>
      </c>
      <c r="E86" t="s">
        <v>304</v>
      </c>
      <c r="F86" t="s">
        <v>440</v>
      </c>
    </row>
    <row r="87" spans="1:6" x14ac:dyDescent="0.3">
      <c r="A87" t="s">
        <v>618</v>
      </c>
      <c r="B87" t="s">
        <v>676</v>
      </c>
      <c r="C87" t="s">
        <v>300</v>
      </c>
      <c r="D87" t="s">
        <v>528</v>
      </c>
      <c r="E87" t="s">
        <v>305</v>
      </c>
      <c r="F87" t="s">
        <v>441</v>
      </c>
    </row>
    <row r="88" spans="1:6" x14ac:dyDescent="0.3">
      <c r="A88" t="s">
        <v>619</v>
      </c>
      <c r="B88" t="s">
        <v>678</v>
      </c>
      <c r="C88" t="s">
        <v>301</v>
      </c>
      <c r="D88" t="s">
        <v>541</v>
      </c>
      <c r="E88" t="s">
        <v>296</v>
      </c>
      <c r="F88" t="s">
        <v>432</v>
      </c>
    </row>
    <row r="89" spans="1:6" x14ac:dyDescent="0.3">
      <c r="A89" t="s">
        <v>620</v>
      </c>
      <c r="B89" t="s">
        <v>679</v>
      </c>
      <c r="C89" t="s">
        <v>301</v>
      </c>
      <c r="D89" t="s">
        <v>541</v>
      </c>
      <c r="E89" t="s">
        <v>300</v>
      </c>
      <c r="F89" t="s">
        <v>436</v>
      </c>
    </row>
    <row r="90" spans="1:6" x14ac:dyDescent="0.3">
      <c r="A90" t="s">
        <v>621</v>
      </c>
      <c r="B90" t="s">
        <v>680</v>
      </c>
      <c r="C90" t="s">
        <v>301</v>
      </c>
      <c r="D90" t="s">
        <v>541</v>
      </c>
      <c r="E90" t="s">
        <v>303</v>
      </c>
      <c r="F90" t="s">
        <v>439</v>
      </c>
    </row>
    <row r="91" spans="1:6" x14ac:dyDescent="0.3">
      <c r="A91" t="s">
        <v>622</v>
      </c>
      <c r="B91" t="s">
        <v>681</v>
      </c>
      <c r="C91" t="s">
        <v>301</v>
      </c>
      <c r="D91" t="s">
        <v>541</v>
      </c>
      <c r="E91" t="s">
        <v>305</v>
      </c>
      <c r="F91" t="s">
        <v>441</v>
      </c>
    </row>
    <row r="92" spans="1:6" x14ac:dyDescent="0.3">
      <c r="A92" t="s">
        <v>623</v>
      </c>
      <c r="B92" t="s">
        <v>683</v>
      </c>
      <c r="C92" t="s">
        <v>302</v>
      </c>
      <c r="D92" t="s">
        <v>552</v>
      </c>
      <c r="E92" t="s">
        <v>306</v>
      </c>
      <c r="F92" t="s">
        <v>553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7"/>
  <sheetViews>
    <sheetView workbookViewId="0">
      <pane xSplit="9" ySplit="1" topLeftCell="J2" activePane="bottomRight" state="frozen"/>
      <selection pane="topRight" activeCell="H1" sqref="H1"/>
      <selection pane="bottomLeft" activeCell="A2" sqref="A2"/>
      <selection pane="bottomRight" activeCell="B16" sqref="B16"/>
    </sheetView>
  </sheetViews>
  <sheetFormatPr defaultColWidth="9" defaultRowHeight="14" x14ac:dyDescent="0.3"/>
  <cols>
    <col min="1" max="1" width="9.75" style="13" bestFit="1" customWidth="1"/>
    <col min="2" max="2" width="31.83203125" style="13" bestFit="1" customWidth="1"/>
    <col min="3" max="3" width="12.5" style="13" bestFit="1" customWidth="1"/>
    <col min="4" max="4" width="10.75" style="13" bestFit="1" customWidth="1"/>
    <col min="5" max="5" width="11.08203125" style="13" bestFit="1" customWidth="1"/>
    <col min="6" max="6" width="10.58203125" style="13" bestFit="1" customWidth="1"/>
    <col min="7" max="7" width="26.58203125" style="13" bestFit="1" customWidth="1"/>
    <col min="8" max="8" width="8" style="13" bestFit="1" customWidth="1"/>
    <col min="9" max="9" width="25" style="13" bestFit="1" customWidth="1"/>
    <col min="10" max="10" width="97.08203125" style="13" bestFit="1" customWidth="1"/>
    <col min="11" max="11" width="75.5" style="13" bestFit="1" customWidth="1"/>
    <col min="12" max="16384" width="9" style="13"/>
  </cols>
  <sheetData>
    <row r="1" spans="1:11" ht="28" x14ac:dyDescent="0.3">
      <c r="A1" s="23" t="s">
        <v>777</v>
      </c>
      <c r="B1" s="23" t="s">
        <v>779</v>
      </c>
      <c r="C1" s="1" t="s">
        <v>684</v>
      </c>
      <c r="D1" s="2" t="s">
        <v>0</v>
      </c>
      <c r="E1" s="1" t="s">
        <v>1</v>
      </c>
      <c r="F1" s="2" t="s">
        <v>2</v>
      </c>
      <c r="G1" s="1" t="s">
        <v>3</v>
      </c>
      <c r="H1" s="2" t="s">
        <v>4</v>
      </c>
      <c r="I1" s="1" t="s">
        <v>5</v>
      </c>
      <c r="J1" s="3" t="s">
        <v>6</v>
      </c>
      <c r="K1" s="3" t="s">
        <v>7</v>
      </c>
    </row>
    <row r="2" spans="1:11" ht="28" x14ac:dyDescent="0.3">
      <c r="A2" s="27" t="str">
        <f>IF(F2="00","General"&amp;INDEX(问题代码结构!$B$12:$B$20,MATCH($E2,问题代码结构!$C$12:$C$20,0)),D2&amp;F2)</f>
        <v>0001</v>
      </c>
      <c r="B2" s="27" t="str">
        <f>E2&amp;"-"&amp;G2</f>
        <v>个人-月度交通费（销售/SMO/CO)</v>
      </c>
      <c r="C2" s="4" t="s">
        <v>8</v>
      </c>
      <c r="D2" s="4" t="s">
        <v>294</v>
      </c>
      <c r="E2" s="4" t="s">
        <v>9</v>
      </c>
      <c r="F2" s="4" t="s">
        <v>295</v>
      </c>
      <c r="G2" s="5" t="s">
        <v>10</v>
      </c>
      <c r="H2" s="4" t="s">
        <v>295</v>
      </c>
      <c r="I2" s="4" t="s">
        <v>11</v>
      </c>
      <c r="J2" s="4" t="s">
        <v>12</v>
      </c>
      <c r="K2" s="4" t="s">
        <v>13</v>
      </c>
    </row>
    <row r="3" spans="1:11" ht="28" x14ac:dyDescent="0.3">
      <c r="A3" s="27" t="str">
        <f>IF(F3="00","General"&amp;INDEX(问题代码结构!$B$12:$B$20,MATCH($E3,问题代码结构!$C$12:$C$20,0)),D3&amp;F3)</f>
        <v>0001</v>
      </c>
      <c r="B3" s="27" t="str">
        <f t="shared" ref="B3:B66" si="0">E3&amp;"-"&amp;G3</f>
        <v>个人-月度交通费（销售/SMO/CO)</v>
      </c>
      <c r="C3" s="4" t="s">
        <v>14</v>
      </c>
      <c r="D3" s="4" t="s">
        <v>294</v>
      </c>
      <c r="E3" s="4" t="s">
        <v>9</v>
      </c>
      <c r="F3" s="4" t="s">
        <v>295</v>
      </c>
      <c r="G3" s="5" t="s">
        <v>10</v>
      </c>
      <c r="H3" s="4" t="s">
        <v>296</v>
      </c>
      <c r="I3" s="4" t="s">
        <v>15</v>
      </c>
      <c r="J3" s="4" t="s">
        <v>16</v>
      </c>
      <c r="K3" s="4" t="s">
        <v>17</v>
      </c>
    </row>
    <row r="4" spans="1:11" s="14" customFormat="1" x14ac:dyDescent="0.3">
      <c r="A4" s="27" t="str">
        <f>IF(F4="00","General"&amp;INDEX(问题代码结构!$B$12:$B$20,MATCH($E4,问题代码结构!$C$12:$C$20,0)),D4&amp;F4)</f>
        <v>0001</v>
      </c>
      <c r="B4" s="27" t="str">
        <f t="shared" si="0"/>
        <v>个人-月度交通费（销售/SMO/CO)</v>
      </c>
      <c r="C4" s="6" t="s">
        <v>18</v>
      </c>
      <c r="D4" s="6" t="s">
        <v>294</v>
      </c>
      <c r="E4" s="6" t="s">
        <v>9</v>
      </c>
      <c r="F4" s="6" t="s">
        <v>295</v>
      </c>
      <c r="G4" s="7" t="s">
        <v>10</v>
      </c>
      <c r="H4" s="6" t="s">
        <v>297</v>
      </c>
      <c r="I4" s="6" t="s">
        <v>19</v>
      </c>
      <c r="J4" s="6" t="s">
        <v>20</v>
      </c>
      <c r="K4" s="6" t="s">
        <v>17</v>
      </c>
    </row>
    <row r="5" spans="1:11" s="14" customFormat="1" ht="28" x14ac:dyDescent="0.3">
      <c r="A5" s="27" t="str">
        <f>IF(F5="00","General"&amp;INDEX(问题代码结构!$B$12:$B$20,MATCH($E5,问题代码结构!$C$12:$C$20,0)),D5&amp;F5)</f>
        <v>0001</v>
      </c>
      <c r="B5" s="27" t="str">
        <f t="shared" si="0"/>
        <v>个人-月度交通费（销售/SMO/CO)</v>
      </c>
      <c r="C5" s="6" t="s">
        <v>21</v>
      </c>
      <c r="D5" s="6" t="s">
        <v>294</v>
      </c>
      <c r="E5" s="6" t="s">
        <v>9</v>
      </c>
      <c r="F5" s="6" t="s">
        <v>295</v>
      </c>
      <c r="G5" s="7" t="s">
        <v>10</v>
      </c>
      <c r="H5" s="6" t="s">
        <v>298</v>
      </c>
      <c r="I5" s="6" t="s">
        <v>22</v>
      </c>
      <c r="J5" s="6" t="s">
        <v>23</v>
      </c>
      <c r="K5" s="6" t="s">
        <v>24</v>
      </c>
    </row>
    <row r="6" spans="1:11" s="14" customFormat="1" x14ac:dyDescent="0.3">
      <c r="A6" s="27" t="str">
        <f>IF(F6="00","General"&amp;INDEX(问题代码结构!$B$12:$B$20,MATCH($E6,问题代码结构!$C$12:$C$20,0)),D6&amp;F6)</f>
        <v>0001</v>
      </c>
      <c r="B6" s="27" t="str">
        <f t="shared" si="0"/>
        <v>个人-月度交通费（销售/SMO/CO)</v>
      </c>
      <c r="C6" s="6" t="s">
        <v>25</v>
      </c>
      <c r="D6" s="6" t="s">
        <v>294</v>
      </c>
      <c r="E6" s="6" t="s">
        <v>9</v>
      </c>
      <c r="F6" s="6" t="s">
        <v>295</v>
      </c>
      <c r="G6" s="7" t="s">
        <v>10</v>
      </c>
      <c r="H6" s="6" t="s">
        <v>299</v>
      </c>
      <c r="I6" s="6" t="s">
        <v>26</v>
      </c>
      <c r="J6" s="6" t="s">
        <v>27</v>
      </c>
      <c r="K6" s="6" t="s">
        <v>28</v>
      </c>
    </row>
    <row r="7" spans="1:11" s="14" customFormat="1" x14ac:dyDescent="0.3">
      <c r="A7" s="27" t="str">
        <f>IF(F7="00","General"&amp;INDEX(问题代码结构!$B$12:$B$20,MATCH($E7,问题代码结构!$C$12:$C$20,0)),D7&amp;F7)</f>
        <v>0002</v>
      </c>
      <c r="B7" s="27" t="str">
        <f t="shared" si="0"/>
        <v>个人-交通费-市内</v>
      </c>
      <c r="C7" s="6" t="s">
        <v>29</v>
      </c>
      <c r="D7" s="6" t="s">
        <v>294</v>
      </c>
      <c r="E7" s="6" t="s">
        <v>9</v>
      </c>
      <c r="F7" s="6" t="s">
        <v>296</v>
      </c>
      <c r="G7" s="6" t="s">
        <v>30</v>
      </c>
      <c r="H7" s="6" t="s">
        <v>295</v>
      </c>
      <c r="I7" s="6" t="s">
        <v>15</v>
      </c>
      <c r="J7" s="6" t="s">
        <v>31</v>
      </c>
      <c r="K7" s="6" t="s">
        <v>17</v>
      </c>
    </row>
    <row r="8" spans="1:11" s="14" customFormat="1" x14ac:dyDescent="0.3">
      <c r="A8" s="27" t="str">
        <f>IF(F8="00","General"&amp;INDEX(问题代码结构!$B$12:$B$20,MATCH($E8,问题代码结构!$C$12:$C$20,0)),D8&amp;F8)</f>
        <v>0002</v>
      </c>
      <c r="B8" s="27" t="str">
        <f t="shared" si="0"/>
        <v>个人-交通费-市内</v>
      </c>
      <c r="C8" s="6" t="s">
        <v>32</v>
      </c>
      <c r="D8" s="6" t="s">
        <v>294</v>
      </c>
      <c r="E8" s="6" t="s">
        <v>9</v>
      </c>
      <c r="F8" s="6" t="s">
        <v>296</v>
      </c>
      <c r="G8" s="6" t="s">
        <v>30</v>
      </c>
      <c r="H8" s="6" t="s">
        <v>296</v>
      </c>
      <c r="I8" s="6" t="s">
        <v>19</v>
      </c>
      <c r="J8" s="6" t="s">
        <v>33</v>
      </c>
      <c r="K8" s="6" t="s">
        <v>17</v>
      </c>
    </row>
    <row r="9" spans="1:11" s="14" customFormat="1" ht="28" x14ac:dyDescent="0.3">
      <c r="A9" s="27" t="str">
        <f>IF(F9="00","General"&amp;INDEX(问题代码结构!$B$12:$B$20,MATCH($E9,问题代码结构!$C$12:$C$20,0)),D9&amp;F9)</f>
        <v>0002</v>
      </c>
      <c r="B9" s="27" t="str">
        <f t="shared" si="0"/>
        <v>个人-交通费-市内</v>
      </c>
      <c r="C9" s="6" t="s">
        <v>34</v>
      </c>
      <c r="D9" s="6" t="s">
        <v>294</v>
      </c>
      <c r="E9" s="6" t="s">
        <v>9</v>
      </c>
      <c r="F9" s="6" t="s">
        <v>296</v>
      </c>
      <c r="G9" s="6" t="s">
        <v>30</v>
      </c>
      <c r="H9" s="6" t="s">
        <v>297</v>
      </c>
      <c r="I9" s="6" t="s">
        <v>22</v>
      </c>
      <c r="J9" s="6" t="s">
        <v>23</v>
      </c>
      <c r="K9" s="6" t="s">
        <v>24</v>
      </c>
    </row>
    <row r="10" spans="1:11" s="14" customFormat="1" x14ac:dyDescent="0.3">
      <c r="A10" s="27" t="str">
        <f>IF(F10="00","General"&amp;INDEX(问题代码结构!$B$12:$B$20,MATCH($E10,问题代码结构!$C$12:$C$20,0)),D10&amp;F10)</f>
        <v>0002</v>
      </c>
      <c r="B10" s="27" t="str">
        <f t="shared" si="0"/>
        <v>个人-交通费-市内</v>
      </c>
      <c r="C10" s="6" t="s">
        <v>35</v>
      </c>
      <c r="D10" s="6" t="s">
        <v>294</v>
      </c>
      <c r="E10" s="6" t="s">
        <v>9</v>
      </c>
      <c r="F10" s="6" t="s">
        <v>296</v>
      </c>
      <c r="G10" s="6" t="s">
        <v>30</v>
      </c>
      <c r="H10" s="6" t="s">
        <v>298</v>
      </c>
      <c r="I10" s="6" t="s">
        <v>36</v>
      </c>
      <c r="J10" s="6" t="s">
        <v>37</v>
      </c>
      <c r="K10" s="6" t="s">
        <v>38</v>
      </c>
    </row>
    <row r="11" spans="1:11" s="14" customFormat="1" x14ac:dyDescent="0.3">
      <c r="A11" s="27" t="str">
        <f>IF(F11="00","General"&amp;INDEX(问题代码结构!$B$12:$B$20,MATCH($E11,问题代码结构!$C$12:$C$20,0)),D11&amp;F11)</f>
        <v>0003</v>
      </c>
      <c r="B11" s="27" t="str">
        <f t="shared" si="0"/>
        <v>个人-电话费</v>
      </c>
      <c r="C11" s="6" t="s">
        <v>39</v>
      </c>
      <c r="D11" s="6" t="s">
        <v>294</v>
      </c>
      <c r="E11" s="6" t="s">
        <v>9</v>
      </c>
      <c r="F11" s="6" t="s">
        <v>297</v>
      </c>
      <c r="G11" s="6" t="s">
        <v>40</v>
      </c>
      <c r="H11" s="6" t="s">
        <v>295</v>
      </c>
      <c r="I11" s="6" t="s">
        <v>41</v>
      </c>
      <c r="J11" s="6" t="s">
        <v>42</v>
      </c>
      <c r="K11" s="6" t="s">
        <v>43</v>
      </c>
    </row>
    <row r="12" spans="1:11" s="14" customFormat="1" x14ac:dyDescent="0.3">
      <c r="A12" s="27" t="str">
        <f>IF(F12="00","General"&amp;INDEX(问题代码结构!$B$12:$B$20,MATCH($E12,问题代码结构!$C$12:$C$20,0)),D12&amp;F12)</f>
        <v>0003</v>
      </c>
      <c r="B12" s="27" t="str">
        <f t="shared" si="0"/>
        <v>个人-电话费</v>
      </c>
      <c r="C12" s="6" t="s">
        <v>44</v>
      </c>
      <c r="D12" s="6" t="s">
        <v>294</v>
      </c>
      <c r="E12" s="6" t="s">
        <v>9</v>
      </c>
      <c r="F12" s="6" t="s">
        <v>297</v>
      </c>
      <c r="G12" s="6" t="s">
        <v>40</v>
      </c>
      <c r="H12" s="6" t="s">
        <v>296</v>
      </c>
      <c r="I12" s="6" t="s">
        <v>45</v>
      </c>
      <c r="J12" s="6" t="s">
        <v>46</v>
      </c>
      <c r="K12" s="6" t="s">
        <v>28</v>
      </c>
    </row>
    <row r="13" spans="1:11" s="14" customFormat="1" x14ac:dyDescent="0.3">
      <c r="A13" s="27" t="str">
        <f>IF(F13="00","General"&amp;INDEX(问题代码结构!$B$12:$B$20,MATCH($E13,问题代码结构!$C$12:$C$20,0)),D13&amp;F13)</f>
        <v>0003</v>
      </c>
      <c r="B13" s="27" t="str">
        <f t="shared" si="0"/>
        <v>个人-电话费</v>
      </c>
      <c r="C13" s="6" t="s">
        <v>47</v>
      </c>
      <c r="D13" s="6" t="s">
        <v>294</v>
      </c>
      <c r="E13" s="6" t="s">
        <v>9</v>
      </c>
      <c r="F13" s="6" t="s">
        <v>297</v>
      </c>
      <c r="G13" s="6" t="s">
        <v>40</v>
      </c>
      <c r="H13" s="6" t="s">
        <v>297</v>
      </c>
      <c r="I13" s="6" t="s">
        <v>48</v>
      </c>
      <c r="J13" s="6" t="s">
        <v>49</v>
      </c>
      <c r="K13" s="6" t="s">
        <v>50</v>
      </c>
    </row>
    <row r="14" spans="1:11" s="14" customFormat="1" x14ac:dyDescent="0.3">
      <c r="A14" s="27" t="str">
        <f>IF(F14="00","General"&amp;INDEX(问题代码结构!$B$12:$B$20,MATCH($E14,问题代码结构!$C$12:$C$20,0)),D14&amp;F14)</f>
        <v>0003</v>
      </c>
      <c r="B14" s="27" t="str">
        <f t="shared" si="0"/>
        <v>个人-电话费</v>
      </c>
      <c r="C14" s="6" t="s">
        <v>51</v>
      </c>
      <c r="D14" s="6" t="s">
        <v>294</v>
      </c>
      <c r="E14" s="6" t="s">
        <v>9</v>
      </c>
      <c r="F14" s="6" t="s">
        <v>297</v>
      </c>
      <c r="G14" s="6" t="s">
        <v>40</v>
      </c>
      <c r="H14" s="6" t="s">
        <v>298</v>
      </c>
      <c r="I14" s="6" t="s">
        <v>52</v>
      </c>
      <c r="J14" s="6" t="s">
        <v>53</v>
      </c>
      <c r="K14" s="6" t="s">
        <v>28</v>
      </c>
    </row>
    <row r="15" spans="1:11" s="14" customFormat="1" x14ac:dyDescent="0.3">
      <c r="A15" s="27" t="str">
        <f>IF(F15="00","General"&amp;INDEX(问题代码结构!$B$12:$B$20,MATCH($E15,问题代码结构!$C$12:$C$20,0)),D15&amp;F15)</f>
        <v>0004</v>
      </c>
      <c r="B15" s="27" t="str">
        <f t="shared" si="0"/>
        <v>个人-工作餐</v>
      </c>
      <c r="C15" s="6" t="s">
        <v>54</v>
      </c>
      <c r="D15" s="6" t="s">
        <v>294</v>
      </c>
      <c r="E15" s="6" t="s">
        <v>9</v>
      </c>
      <c r="F15" s="6" t="s">
        <v>298</v>
      </c>
      <c r="G15" s="6" t="s">
        <v>55</v>
      </c>
      <c r="H15" s="6" t="s">
        <v>295</v>
      </c>
      <c r="I15" s="6" t="s">
        <v>56</v>
      </c>
      <c r="J15" s="6" t="s">
        <v>57</v>
      </c>
      <c r="K15" s="6" t="s">
        <v>58</v>
      </c>
    </row>
    <row r="16" spans="1:11" s="14" customFormat="1" x14ac:dyDescent="0.3">
      <c r="A16" s="27" t="str">
        <f>IF(F16="00","General"&amp;INDEX(问题代码结构!$B$12:$B$20,MATCH($E16,问题代码结构!$C$12:$C$20,0)),D16&amp;F16)</f>
        <v>0004</v>
      </c>
      <c r="B16" s="27" t="str">
        <f t="shared" si="0"/>
        <v>个人-工作餐</v>
      </c>
      <c r="C16" s="6" t="s">
        <v>59</v>
      </c>
      <c r="D16" s="6" t="s">
        <v>294</v>
      </c>
      <c r="E16" s="6" t="s">
        <v>9</v>
      </c>
      <c r="F16" s="6" t="s">
        <v>298</v>
      </c>
      <c r="G16" s="6" t="s">
        <v>55</v>
      </c>
      <c r="H16" s="6" t="s">
        <v>296</v>
      </c>
      <c r="I16" s="6" t="s">
        <v>60</v>
      </c>
      <c r="J16" s="6" t="s">
        <v>61</v>
      </c>
      <c r="K16" s="6" t="s">
        <v>28</v>
      </c>
    </row>
    <row r="17" spans="1:11" s="14" customFormat="1" x14ac:dyDescent="0.3">
      <c r="A17" s="27" t="str">
        <f>IF(F17="00","General"&amp;INDEX(问题代码结构!$B$12:$B$20,MATCH($E17,问题代码结构!$C$12:$C$20,0)),D17&amp;F17)</f>
        <v>0004</v>
      </c>
      <c r="B17" s="27" t="str">
        <f t="shared" si="0"/>
        <v>个人-工作餐</v>
      </c>
      <c r="C17" s="6" t="s">
        <v>62</v>
      </c>
      <c r="D17" s="6" t="s">
        <v>294</v>
      </c>
      <c r="E17" s="6" t="s">
        <v>9</v>
      </c>
      <c r="F17" s="6" t="s">
        <v>298</v>
      </c>
      <c r="G17" s="6" t="s">
        <v>55</v>
      </c>
      <c r="H17" s="6" t="s">
        <v>297</v>
      </c>
      <c r="I17" s="6" t="s">
        <v>63</v>
      </c>
      <c r="J17" s="6" t="s">
        <v>64</v>
      </c>
      <c r="K17" s="6" t="s">
        <v>65</v>
      </c>
    </row>
    <row r="18" spans="1:11" s="14" customFormat="1" x14ac:dyDescent="0.3">
      <c r="A18" s="27" t="str">
        <f>IF(F18="00","General"&amp;INDEX(问题代码结构!$B$12:$B$20,MATCH($E18,问题代码结构!$C$12:$C$20,0)),D18&amp;F18)</f>
        <v>0005</v>
      </c>
      <c r="B18" s="27" t="str">
        <f t="shared" si="0"/>
        <v>个人-办公用品</v>
      </c>
      <c r="C18" s="6" t="s">
        <v>66</v>
      </c>
      <c r="D18" s="6" t="s">
        <v>294</v>
      </c>
      <c r="E18" s="6" t="s">
        <v>9</v>
      </c>
      <c r="F18" s="6" t="s">
        <v>299</v>
      </c>
      <c r="G18" s="6" t="s">
        <v>67</v>
      </c>
      <c r="H18" s="6" t="s">
        <v>295</v>
      </c>
      <c r="I18" s="6" t="s">
        <v>68</v>
      </c>
      <c r="J18" s="6" t="s">
        <v>69</v>
      </c>
      <c r="K18" s="6" t="s">
        <v>28</v>
      </c>
    </row>
    <row r="19" spans="1:11" s="14" customFormat="1" x14ac:dyDescent="0.3">
      <c r="A19" s="27" t="str">
        <f>IF(F19="00","General"&amp;INDEX(问题代码结构!$B$12:$B$20,MATCH($E19,问题代码结构!$C$12:$C$20,0)),D19&amp;F19)</f>
        <v>0005</v>
      </c>
      <c r="B19" s="27" t="str">
        <f t="shared" si="0"/>
        <v>个人-办公用品</v>
      </c>
      <c r="C19" s="6" t="s">
        <v>70</v>
      </c>
      <c r="D19" s="6" t="s">
        <v>294</v>
      </c>
      <c r="E19" s="6" t="s">
        <v>9</v>
      </c>
      <c r="F19" s="6" t="s">
        <v>299</v>
      </c>
      <c r="G19" s="6" t="s">
        <v>67</v>
      </c>
      <c r="H19" s="6" t="s">
        <v>296</v>
      </c>
      <c r="I19" s="6" t="s">
        <v>71</v>
      </c>
      <c r="J19" s="6" t="s">
        <v>72</v>
      </c>
      <c r="K19" s="6" t="s">
        <v>28</v>
      </c>
    </row>
    <row r="20" spans="1:11" s="14" customFormat="1" x14ac:dyDescent="0.3">
      <c r="A20" s="27" t="str">
        <f>IF(F20="00","General"&amp;INDEX(问题代码结构!$B$12:$B$20,MATCH($E20,问题代码结构!$C$12:$C$20,0)),D20&amp;F20)</f>
        <v>0006</v>
      </c>
      <c r="B20" s="27" t="str">
        <f t="shared" si="0"/>
        <v>个人-IT配件</v>
      </c>
      <c r="C20" s="6" t="s">
        <v>73</v>
      </c>
      <c r="D20" s="6" t="s">
        <v>294</v>
      </c>
      <c r="E20" s="6" t="s">
        <v>9</v>
      </c>
      <c r="F20" s="6" t="s">
        <v>300</v>
      </c>
      <c r="G20" s="6" t="s">
        <v>74</v>
      </c>
      <c r="H20" s="6" t="s">
        <v>295</v>
      </c>
      <c r="I20" s="6" t="s">
        <v>68</v>
      </c>
      <c r="J20" s="6" t="s">
        <v>69</v>
      </c>
      <c r="K20" s="6" t="s">
        <v>28</v>
      </c>
    </row>
    <row r="21" spans="1:11" s="14" customFormat="1" x14ac:dyDescent="0.3">
      <c r="A21" s="27" t="str">
        <f>IF(F21="00","General"&amp;INDEX(问题代码结构!$B$12:$B$20,MATCH($E21,问题代码结构!$C$12:$C$20,0)),D21&amp;F21)</f>
        <v>0006</v>
      </c>
      <c r="B21" s="27" t="str">
        <f t="shared" si="0"/>
        <v>个人-IT配件</v>
      </c>
      <c r="C21" s="6" t="s">
        <v>75</v>
      </c>
      <c r="D21" s="6" t="s">
        <v>294</v>
      </c>
      <c r="E21" s="6" t="s">
        <v>9</v>
      </c>
      <c r="F21" s="6" t="s">
        <v>300</v>
      </c>
      <c r="G21" s="6" t="s">
        <v>74</v>
      </c>
      <c r="H21" s="6" t="s">
        <v>296</v>
      </c>
      <c r="I21" s="6" t="s">
        <v>71</v>
      </c>
      <c r="J21" s="6" t="s">
        <v>76</v>
      </c>
      <c r="K21" s="6" t="s">
        <v>28</v>
      </c>
    </row>
    <row r="22" spans="1:11" s="14" customFormat="1" x14ac:dyDescent="0.3">
      <c r="A22" s="27" t="str">
        <f>IF(F22="00","General"&amp;INDEX(问题代码结构!$B$12:$B$20,MATCH($E22,问题代码结构!$C$12:$C$20,0)),D22&amp;F22)</f>
        <v>0007</v>
      </c>
      <c r="B22" s="27" t="str">
        <f t="shared" si="0"/>
        <v>个人-快递/货运</v>
      </c>
      <c r="C22" s="6" t="s">
        <v>77</v>
      </c>
      <c r="D22" s="6" t="s">
        <v>294</v>
      </c>
      <c r="E22" s="6" t="s">
        <v>9</v>
      </c>
      <c r="F22" s="6" t="s">
        <v>301</v>
      </c>
      <c r="G22" s="6" t="s">
        <v>78</v>
      </c>
      <c r="H22" s="6" t="s">
        <v>295</v>
      </c>
      <c r="I22" s="6" t="s">
        <v>79</v>
      </c>
      <c r="J22" s="6" t="s">
        <v>80</v>
      </c>
      <c r="K22" s="6" t="s">
        <v>28</v>
      </c>
    </row>
    <row r="23" spans="1:11" s="14" customFormat="1" x14ac:dyDescent="0.3">
      <c r="A23" s="27" t="str">
        <f>IF(F23="00","General"&amp;INDEX(问题代码结构!$B$12:$B$20,MATCH($E23,问题代码结构!$C$12:$C$20,0)),D23&amp;F23)</f>
        <v>0008</v>
      </c>
      <c r="B23" s="27" t="str">
        <f t="shared" si="0"/>
        <v>个人-打印/复印</v>
      </c>
      <c r="C23" s="6" t="s">
        <v>81</v>
      </c>
      <c r="D23" s="6" t="s">
        <v>294</v>
      </c>
      <c r="E23" s="6" t="s">
        <v>9</v>
      </c>
      <c r="F23" s="6" t="s">
        <v>302</v>
      </c>
      <c r="G23" s="6" t="s">
        <v>82</v>
      </c>
      <c r="H23" s="6" t="s">
        <v>295</v>
      </c>
      <c r="I23" s="6" t="s">
        <v>83</v>
      </c>
      <c r="J23" s="6" t="s">
        <v>84</v>
      </c>
      <c r="K23" s="6" t="s">
        <v>28</v>
      </c>
    </row>
    <row r="24" spans="1:11" s="14" customFormat="1" x14ac:dyDescent="0.3">
      <c r="A24" s="27" t="str">
        <f>IF(F24="00","General"&amp;INDEX(问题代码结构!$B$12:$B$20,MATCH($E24,问题代码结构!$C$12:$C$20,0)),D24&amp;F24)</f>
        <v>0008</v>
      </c>
      <c r="B24" s="27" t="str">
        <f t="shared" si="0"/>
        <v>个人-打印/复印</v>
      </c>
      <c r="C24" s="6" t="s">
        <v>85</v>
      </c>
      <c r="D24" s="6" t="s">
        <v>294</v>
      </c>
      <c r="E24" s="6" t="s">
        <v>9</v>
      </c>
      <c r="F24" s="6" t="s">
        <v>302</v>
      </c>
      <c r="G24" s="6" t="s">
        <v>82</v>
      </c>
      <c r="H24" s="6" t="s">
        <v>296</v>
      </c>
      <c r="I24" s="6" t="s">
        <v>86</v>
      </c>
      <c r="J24" s="6" t="s">
        <v>87</v>
      </c>
      <c r="K24" s="6" t="s">
        <v>88</v>
      </c>
    </row>
    <row r="25" spans="1:11" s="14" customFormat="1" x14ac:dyDescent="0.3">
      <c r="A25" s="27" t="str">
        <f>IF(F25="00","General"&amp;INDEX(问题代码结构!$B$12:$B$20,MATCH($E25,问题代码结构!$C$12:$C$20,0)),D25&amp;F25)</f>
        <v>0008</v>
      </c>
      <c r="B25" s="27" t="str">
        <f t="shared" si="0"/>
        <v>个人-打印/复印</v>
      </c>
      <c r="C25" s="6" t="s">
        <v>89</v>
      </c>
      <c r="D25" s="6" t="s">
        <v>294</v>
      </c>
      <c r="E25" s="6" t="s">
        <v>9</v>
      </c>
      <c r="F25" s="6" t="s">
        <v>302</v>
      </c>
      <c r="G25" s="6" t="s">
        <v>82</v>
      </c>
      <c r="H25" s="6" t="s">
        <v>297</v>
      </c>
      <c r="I25" s="6" t="s">
        <v>71</v>
      </c>
      <c r="J25" s="6" t="s">
        <v>90</v>
      </c>
      <c r="K25" s="6" t="s">
        <v>28</v>
      </c>
    </row>
    <row r="26" spans="1:11" s="14" customFormat="1" x14ac:dyDescent="0.3">
      <c r="A26" s="27" t="str">
        <f>IF(F26="00","General"&amp;INDEX(问题代码结构!$B$12:$B$20,MATCH($E26,问题代码结构!$C$12:$C$20,0)),D26&amp;F26)</f>
        <v>0009</v>
      </c>
      <c r="B26" s="27" t="str">
        <f t="shared" si="0"/>
        <v>个人-外部会议/培训</v>
      </c>
      <c r="C26" s="6" t="s">
        <v>91</v>
      </c>
      <c r="D26" s="6" t="s">
        <v>294</v>
      </c>
      <c r="E26" s="6" t="s">
        <v>9</v>
      </c>
      <c r="F26" s="6" t="s">
        <v>303</v>
      </c>
      <c r="G26" s="6" t="s">
        <v>92</v>
      </c>
      <c r="H26" s="6" t="s">
        <v>295</v>
      </c>
      <c r="I26" s="6" t="s">
        <v>93</v>
      </c>
      <c r="J26" s="6" t="s">
        <v>94</v>
      </c>
      <c r="K26" s="6" t="s">
        <v>28</v>
      </c>
    </row>
    <row r="27" spans="1:11" s="14" customFormat="1" x14ac:dyDescent="0.3">
      <c r="A27" s="27" t="str">
        <f>IF(F27="00","General"&amp;INDEX(问题代码结构!$B$12:$B$20,MATCH($E27,问题代码结构!$C$12:$C$20,0)),D27&amp;F27)</f>
        <v>0009</v>
      </c>
      <c r="B27" s="27" t="str">
        <f t="shared" si="0"/>
        <v>个人-外部会议/培训</v>
      </c>
      <c r="C27" s="6" t="s">
        <v>95</v>
      </c>
      <c r="D27" s="6" t="s">
        <v>294</v>
      </c>
      <c r="E27" s="6" t="s">
        <v>9</v>
      </c>
      <c r="F27" s="6" t="s">
        <v>303</v>
      </c>
      <c r="G27" s="6" t="s">
        <v>92</v>
      </c>
      <c r="H27" s="6" t="s">
        <v>296</v>
      </c>
      <c r="I27" s="6" t="s">
        <v>83</v>
      </c>
      <c r="J27" s="6" t="s">
        <v>84</v>
      </c>
      <c r="K27" s="6" t="s">
        <v>28</v>
      </c>
    </row>
    <row r="28" spans="1:11" s="14" customFormat="1" x14ac:dyDescent="0.3">
      <c r="A28" s="27" t="str">
        <f>IF(F28="00","General"&amp;INDEX(问题代码结构!$B$12:$B$20,MATCH($E28,问题代码结构!$C$12:$C$20,0)),D28&amp;F28)</f>
        <v>0009</v>
      </c>
      <c r="B28" s="27" t="str">
        <f t="shared" si="0"/>
        <v>个人-外部会议/培训</v>
      </c>
      <c r="C28" s="6" t="s">
        <v>96</v>
      </c>
      <c r="D28" s="6" t="s">
        <v>294</v>
      </c>
      <c r="E28" s="6" t="s">
        <v>9</v>
      </c>
      <c r="F28" s="6" t="s">
        <v>303</v>
      </c>
      <c r="G28" s="6" t="s">
        <v>92</v>
      </c>
      <c r="H28" s="6" t="s">
        <v>297</v>
      </c>
      <c r="I28" s="6" t="s">
        <v>86</v>
      </c>
      <c r="J28" s="6" t="s">
        <v>87</v>
      </c>
      <c r="K28" s="6" t="s">
        <v>88</v>
      </c>
    </row>
    <row r="29" spans="1:11" s="14" customFormat="1" x14ac:dyDescent="0.3">
      <c r="A29" s="27" t="str">
        <f>IF(F29="00","General"&amp;INDEX(问题代码结构!$B$12:$B$20,MATCH($E29,问题代码结构!$C$12:$C$20,0)),D29&amp;F29)</f>
        <v>0010</v>
      </c>
      <c r="B29" s="27" t="str">
        <f t="shared" si="0"/>
        <v>个人-临床杂项</v>
      </c>
      <c r="C29" s="6" t="s">
        <v>97</v>
      </c>
      <c r="D29" s="6" t="s">
        <v>294</v>
      </c>
      <c r="E29" s="6" t="s">
        <v>9</v>
      </c>
      <c r="F29" s="6" t="s">
        <v>304</v>
      </c>
      <c r="G29" s="6" t="s">
        <v>98</v>
      </c>
      <c r="H29" s="6" t="s">
        <v>295</v>
      </c>
      <c r="I29" s="6" t="s">
        <v>99</v>
      </c>
      <c r="J29" s="6" t="s">
        <v>100</v>
      </c>
      <c r="K29" s="6" t="s">
        <v>28</v>
      </c>
    </row>
    <row r="30" spans="1:11" s="14" customFormat="1" x14ac:dyDescent="0.3">
      <c r="A30" s="27" t="str">
        <f>IF(F30="00","General"&amp;INDEX(问题代码结构!$B$12:$B$20,MATCH($E30,问题代码结构!$C$12:$C$20,0)),D30&amp;F30)</f>
        <v>0010</v>
      </c>
      <c r="B30" s="27" t="str">
        <f t="shared" si="0"/>
        <v>个人-临床杂项</v>
      </c>
      <c r="C30" s="6" t="s">
        <v>101</v>
      </c>
      <c r="D30" s="6" t="s">
        <v>294</v>
      </c>
      <c r="E30" s="6" t="s">
        <v>9</v>
      </c>
      <c r="F30" s="6" t="s">
        <v>304</v>
      </c>
      <c r="G30" s="6" t="s">
        <v>98</v>
      </c>
      <c r="H30" s="6" t="s">
        <v>296</v>
      </c>
      <c r="I30" s="6" t="s">
        <v>56</v>
      </c>
      <c r="J30" s="6" t="s">
        <v>102</v>
      </c>
      <c r="K30" s="6" t="s">
        <v>58</v>
      </c>
    </row>
    <row r="31" spans="1:11" s="14" customFormat="1" x14ac:dyDescent="0.3">
      <c r="A31" s="27" t="str">
        <f>IF(F31="00","General"&amp;INDEX(问题代码结构!$B$12:$B$20,MATCH($E31,问题代码结构!$C$12:$C$20,0)),D31&amp;F31)</f>
        <v>0010</v>
      </c>
      <c r="B31" s="27" t="str">
        <f t="shared" si="0"/>
        <v>个人-临床杂项</v>
      </c>
      <c r="C31" s="6" t="s">
        <v>103</v>
      </c>
      <c r="D31" s="6" t="s">
        <v>294</v>
      </c>
      <c r="E31" s="6" t="s">
        <v>9</v>
      </c>
      <c r="F31" s="6" t="s">
        <v>304</v>
      </c>
      <c r="G31" s="6" t="s">
        <v>98</v>
      </c>
      <c r="H31" s="6" t="s">
        <v>297</v>
      </c>
      <c r="I31" s="6" t="s">
        <v>83</v>
      </c>
      <c r="J31" s="6" t="s">
        <v>84</v>
      </c>
      <c r="K31" s="6" t="s">
        <v>28</v>
      </c>
    </row>
    <row r="32" spans="1:11" s="14" customFormat="1" x14ac:dyDescent="0.3">
      <c r="A32" s="27" t="str">
        <f>IF(F32="00","General"&amp;INDEX(问题代码结构!$B$12:$B$20,MATCH($E32,问题代码结构!$C$12:$C$20,0)),D32&amp;F32)</f>
        <v>0010</v>
      </c>
      <c r="B32" s="27" t="str">
        <f t="shared" si="0"/>
        <v>个人-临床杂项</v>
      </c>
      <c r="C32" s="6" t="s">
        <v>104</v>
      </c>
      <c r="D32" s="6" t="s">
        <v>294</v>
      </c>
      <c r="E32" s="6" t="s">
        <v>9</v>
      </c>
      <c r="F32" s="6" t="s">
        <v>304</v>
      </c>
      <c r="G32" s="6" t="s">
        <v>98</v>
      </c>
      <c r="H32" s="6" t="s">
        <v>298</v>
      </c>
      <c r="I32" s="6" t="s">
        <v>86</v>
      </c>
      <c r="J32" s="6" t="s">
        <v>87</v>
      </c>
      <c r="K32" s="6" t="s">
        <v>88</v>
      </c>
    </row>
    <row r="33" spans="1:11" s="14" customFormat="1" x14ac:dyDescent="0.3">
      <c r="A33" s="27" t="str">
        <f>IF(F33="00","General"&amp;INDEX(问题代码结构!$B$12:$B$20,MATCH($E33,问题代码结构!$C$12:$C$20,0)),D33&amp;F33)</f>
        <v>0011</v>
      </c>
      <c r="B33" s="27" t="str">
        <f t="shared" si="0"/>
        <v>个人-杂项开支</v>
      </c>
      <c r="C33" s="6" t="s">
        <v>105</v>
      </c>
      <c r="D33" s="6" t="s">
        <v>294</v>
      </c>
      <c r="E33" s="6" t="s">
        <v>9</v>
      </c>
      <c r="F33" s="6" t="s">
        <v>305</v>
      </c>
      <c r="G33" s="6" t="s">
        <v>106</v>
      </c>
      <c r="H33" s="6" t="s">
        <v>295</v>
      </c>
      <c r="I33" s="6" t="s">
        <v>56</v>
      </c>
      <c r="J33" s="6" t="s">
        <v>107</v>
      </c>
      <c r="K33" s="6" t="s">
        <v>58</v>
      </c>
    </row>
    <row r="34" spans="1:11" s="14" customFormat="1" x14ac:dyDescent="0.3">
      <c r="A34" s="27" t="str">
        <f>IF(F34="00","General"&amp;INDEX(问题代码结构!$B$12:$B$20,MATCH($E34,问题代码结构!$C$12:$C$20,0)),D34&amp;F34)</f>
        <v>0011</v>
      </c>
      <c r="B34" s="27" t="str">
        <f t="shared" si="0"/>
        <v>个人-杂项开支</v>
      </c>
      <c r="C34" s="6" t="s">
        <v>108</v>
      </c>
      <c r="D34" s="6" t="s">
        <v>294</v>
      </c>
      <c r="E34" s="6" t="s">
        <v>9</v>
      </c>
      <c r="F34" s="6" t="s">
        <v>305</v>
      </c>
      <c r="G34" s="6" t="s">
        <v>106</v>
      </c>
      <c r="H34" s="6" t="s">
        <v>296</v>
      </c>
      <c r="I34" s="6" t="s">
        <v>109</v>
      </c>
      <c r="J34" s="6" t="s">
        <v>110</v>
      </c>
      <c r="K34" s="6" t="s">
        <v>111</v>
      </c>
    </row>
    <row r="35" spans="1:11" s="14" customFormat="1" x14ac:dyDescent="0.3">
      <c r="A35" s="27" t="str">
        <f>IF(F35="00","General"&amp;INDEX(问题代码结构!$B$12:$B$20,MATCH($E35,问题代码结构!$C$12:$C$20,0)),D35&amp;F35)</f>
        <v>0011</v>
      </c>
      <c r="B35" s="27" t="str">
        <f t="shared" si="0"/>
        <v>个人-杂项开支</v>
      </c>
      <c r="C35" s="6" t="s">
        <v>112</v>
      </c>
      <c r="D35" s="6" t="s">
        <v>294</v>
      </c>
      <c r="E35" s="6" t="s">
        <v>9</v>
      </c>
      <c r="F35" s="6" t="s">
        <v>305</v>
      </c>
      <c r="G35" s="6" t="s">
        <v>106</v>
      </c>
      <c r="H35" s="6" t="s">
        <v>297</v>
      </c>
      <c r="I35" s="6" t="s">
        <v>83</v>
      </c>
      <c r="J35" s="6" t="s">
        <v>84</v>
      </c>
      <c r="K35" s="6" t="s">
        <v>28</v>
      </c>
    </row>
    <row r="36" spans="1:11" s="14" customFormat="1" x14ac:dyDescent="0.3">
      <c r="A36" s="27" t="str">
        <f>IF(F36="00","General"&amp;INDEX(问题代码结构!$B$12:$B$20,MATCH($E36,问题代码结构!$C$12:$C$20,0)),D36&amp;F36)</f>
        <v>0011</v>
      </c>
      <c r="B36" s="27" t="str">
        <f t="shared" si="0"/>
        <v>个人-杂项开支</v>
      </c>
      <c r="C36" s="6" t="s">
        <v>113</v>
      </c>
      <c r="D36" s="6" t="s">
        <v>294</v>
      </c>
      <c r="E36" s="6" t="s">
        <v>9</v>
      </c>
      <c r="F36" s="6" t="s">
        <v>305</v>
      </c>
      <c r="G36" s="6" t="s">
        <v>106</v>
      </c>
      <c r="H36" s="6" t="s">
        <v>298</v>
      </c>
      <c r="I36" s="6" t="s">
        <v>86</v>
      </c>
      <c r="J36" s="6" t="s">
        <v>87</v>
      </c>
      <c r="K36" s="6" t="s">
        <v>88</v>
      </c>
    </row>
    <row r="37" spans="1:11" s="14" customFormat="1" x14ac:dyDescent="0.3">
      <c r="A37" s="27" t="str">
        <f>IF(F37="00","General"&amp;INDEX(问题代码结构!$B$12:$B$20,MATCH($E37,问题代码结构!$C$12:$C$20,0)),D37&amp;F37)</f>
        <v>0012</v>
      </c>
      <c r="B37" s="27" t="str">
        <f t="shared" si="0"/>
        <v>个人-机票</v>
      </c>
      <c r="C37" s="6" t="s">
        <v>114</v>
      </c>
      <c r="D37" s="6" t="s">
        <v>294</v>
      </c>
      <c r="E37" s="6" t="s">
        <v>9</v>
      </c>
      <c r="F37" s="6" t="s">
        <v>306</v>
      </c>
      <c r="G37" s="6" t="s">
        <v>115</v>
      </c>
      <c r="H37" s="6" t="s">
        <v>295</v>
      </c>
      <c r="I37" s="6" t="s">
        <v>116</v>
      </c>
      <c r="J37" s="6" t="s">
        <v>117</v>
      </c>
      <c r="K37" s="6" t="s">
        <v>118</v>
      </c>
    </row>
    <row r="38" spans="1:11" s="14" customFormat="1" ht="28" x14ac:dyDescent="0.3">
      <c r="A38" s="27" t="str">
        <f>IF(F38="00","General"&amp;INDEX(问题代码结构!$B$12:$B$20,MATCH($E38,问题代码结构!$C$12:$C$20,0)),D38&amp;F38)</f>
        <v>0012</v>
      </c>
      <c r="B38" s="27" t="str">
        <f t="shared" si="0"/>
        <v>个人-机票</v>
      </c>
      <c r="C38" s="6" t="s">
        <v>119</v>
      </c>
      <c r="D38" s="6" t="s">
        <v>294</v>
      </c>
      <c r="E38" s="6" t="s">
        <v>9</v>
      </c>
      <c r="F38" s="6" t="s">
        <v>306</v>
      </c>
      <c r="G38" s="6" t="s">
        <v>115</v>
      </c>
      <c r="H38" s="6" t="s">
        <v>296</v>
      </c>
      <c r="I38" s="6" t="s">
        <v>120</v>
      </c>
      <c r="J38" s="6" t="s">
        <v>121</v>
      </c>
      <c r="K38" s="6" t="s">
        <v>122</v>
      </c>
    </row>
    <row r="39" spans="1:11" s="14" customFormat="1" x14ac:dyDescent="0.3">
      <c r="A39" s="27" t="str">
        <f>IF(F39="00","General"&amp;INDEX(问题代码结构!$B$12:$B$20,MATCH($E39,问题代码结构!$C$12:$C$20,0)),D39&amp;F39)</f>
        <v>0013</v>
      </c>
      <c r="B39" s="27" t="str">
        <f t="shared" si="0"/>
        <v>个人-火车</v>
      </c>
      <c r="C39" s="6" t="s">
        <v>123</v>
      </c>
      <c r="D39" s="6" t="s">
        <v>294</v>
      </c>
      <c r="E39" s="6" t="s">
        <v>9</v>
      </c>
      <c r="F39" s="6" t="s">
        <v>307</v>
      </c>
      <c r="G39" s="6" t="s">
        <v>124</v>
      </c>
      <c r="H39" s="6" t="s">
        <v>295</v>
      </c>
      <c r="I39" s="6" t="s">
        <v>125</v>
      </c>
      <c r="J39" s="6" t="s">
        <v>126</v>
      </c>
      <c r="K39" s="6" t="s">
        <v>88</v>
      </c>
    </row>
    <row r="40" spans="1:11" s="14" customFormat="1" x14ac:dyDescent="0.3">
      <c r="A40" s="27" t="str">
        <f>IF(F40="00","General"&amp;INDEX(问题代码结构!$B$12:$B$20,MATCH($E40,问题代码结构!$C$12:$C$20,0)),D40&amp;F40)</f>
        <v>0014</v>
      </c>
      <c r="B40" s="27" t="str">
        <f t="shared" si="0"/>
        <v>个人-住宿费</v>
      </c>
      <c r="C40" s="6" t="s">
        <v>127</v>
      </c>
      <c r="D40" s="6" t="s">
        <v>294</v>
      </c>
      <c r="E40" s="6" t="s">
        <v>9</v>
      </c>
      <c r="F40" s="6" t="s">
        <v>308</v>
      </c>
      <c r="G40" s="6" t="s">
        <v>128</v>
      </c>
      <c r="H40" s="6" t="s">
        <v>295</v>
      </c>
      <c r="I40" s="6" t="s">
        <v>129</v>
      </c>
      <c r="J40" s="6" t="s">
        <v>130</v>
      </c>
      <c r="K40" s="6" t="s">
        <v>122</v>
      </c>
    </row>
    <row r="41" spans="1:11" s="14" customFormat="1" x14ac:dyDescent="0.3">
      <c r="A41" s="27" t="str">
        <f>IF(F41="00","General"&amp;INDEX(问题代码结构!$B$12:$B$20,MATCH($E41,问题代码结构!$C$12:$C$20,0)),D41&amp;F41)</f>
        <v>0014</v>
      </c>
      <c r="B41" s="27" t="str">
        <f t="shared" si="0"/>
        <v>个人-住宿费</v>
      </c>
      <c r="C41" s="6" t="s">
        <v>131</v>
      </c>
      <c r="D41" s="6" t="s">
        <v>294</v>
      </c>
      <c r="E41" s="6" t="s">
        <v>9</v>
      </c>
      <c r="F41" s="6" t="s">
        <v>308</v>
      </c>
      <c r="G41" s="6" t="s">
        <v>128</v>
      </c>
      <c r="H41" s="6" t="s">
        <v>296</v>
      </c>
      <c r="I41" s="6" t="s">
        <v>83</v>
      </c>
      <c r="J41" s="6" t="s">
        <v>84</v>
      </c>
      <c r="K41" s="6" t="s">
        <v>28</v>
      </c>
    </row>
    <row r="42" spans="1:11" s="14" customFormat="1" x14ac:dyDescent="0.3">
      <c r="A42" s="27" t="str">
        <f>IF(F42="00","General"&amp;INDEX(问题代码结构!$B$12:$B$20,MATCH($E42,问题代码结构!$C$12:$C$20,0)),D42&amp;F42)</f>
        <v>0014</v>
      </c>
      <c r="B42" s="27" t="str">
        <f t="shared" si="0"/>
        <v>个人-住宿费</v>
      </c>
      <c r="C42" s="6" t="s">
        <v>132</v>
      </c>
      <c r="D42" s="6" t="s">
        <v>294</v>
      </c>
      <c r="E42" s="6" t="s">
        <v>9</v>
      </c>
      <c r="F42" s="6" t="s">
        <v>308</v>
      </c>
      <c r="G42" s="6" t="s">
        <v>128</v>
      </c>
      <c r="H42" s="6" t="s">
        <v>297</v>
      </c>
      <c r="I42" s="6" t="s">
        <v>86</v>
      </c>
      <c r="J42" s="6" t="s">
        <v>87</v>
      </c>
      <c r="K42" s="6" t="s">
        <v>88</v>
      </c>
    </row>
    <row r="43" spans="1:11" s="14" customFormat="1" ht="28" x14ac:dyDescent="0.3">
      <c r="A43" s="27" t="str">
        <f>IF(F43="00","General"&amp;INDEX(问题代码结构!$B$12:$B$20,MATCH($E43,问题代码结构!$C$12:$C$20,0)),D43&amp;F43)</f>
        <v>0014</v>
      </c>
      <c r="B43" s="27" t="str">
        <f t="shared" si="0"/>
        <v>个人-住宿费</v>
      </c>
      <c r="C43" s="6" t="s">
        <v>133</v>
      </c>
      <c r="D43" s="6" t="s">
        <v>294</v>
      </c>
      <c r="E43" s="6" t="s">
        <v>9</v>
      </c>
      <c r="F43" s="6" t="s">
        <v>308</v>
      </c>
      <c r="G43" s="6" t="s">
        <v>128</v>
      </c>
      <c r="H43" s="6" t="s">
        <v>298</v>
      </c>
      <c r="I43" s="6" t="s">
        <v>120</v>
      </c>
      <c r="J43" s="6" t="s">
        <v>134</v>
      </c>
      <c r="K43" s="6" t="s">
        <v>28</v>
      </c>
    </row>
    <row r="44" spans="1:11" s="14" customFormat="1" x14ac:dyDescent="0.3">
      <c r="A44" s="27" t="str">
        <f>IF(F44="00","General"&amp;INDEX(问题代码结构!$B$12:$B$20,MATCH($E44,问题代码结构!$C$12:$C$20,0)),D44&amp;F44)</f>
        <v>0015</v>
      </c>
      <c r="B44" s="27" t="str">
        <f t="shared" si="0"/>
        <v>个人-交通费-出差</v>
      </c>
      <c r="C44" s="6" t="s">
        <v>135</v>
      </c>
      <c r="D44" s="6" t="s">
        <v>294</v>
      </c>
      <c r="E44" s="6" t="s">
        <v>9</v>
      </c>
      <c r="F44" s="6" t="s">
        <v>309</v>
      </c>
      <c r="G44" s="6" t="s">
        <v>136</v>
      </c>
      <c r="H44" s="6" t="s">
        <v>295</v>
      </c>
      <c r="I44" s="6" t="s">
        <v>137</v>
      </c>
      <c r="J44" s="6" t="s">
        <v>138</v>
      </c>
      <c r="K44" s="6" t="s">
        <v>28</v>
      </c>
    </row>
    <row r="45" spans="1:11" s="14" customFormat="1" x14ac:dyDescent="0.3">
      <c r="A45" s="27" t="str">
        <f>IF(F45="00","General"&amp;INDEX(问题代码结构!$B$12:$B$20,MATCH($E45,问题代码结构!$C$12:$C$20,0)),D45&amp;F45)</f>
        <v>0015</v>
      </c>
      <c r="B45" s="27" t="str">
        <f t="shared" si="0"/>
        <v>个人-交通费-出差</v>
      </c>
      <c r="C45" s="6" t="s">
        <v>139</v>
      </c>
      <c r="D45" s="6" t="s">
        <v>294</v>
      </c>
      <c r="E45" s="6" t="s">
        <v>9</v>
      </c>
      <c r="F45" s="6" t="s">
        <v>309</v>
      </c>
      <c r="G45" s="6" t="s">
        <v>136</v>
      </c>
      <c r="H45" s="6" t="s">
        <v>296</v>
      </c>
      <c r="I45" s="6" t="s">
        <v>140</v>
      </c>
      <c r="J45" s="6" t="s">
        <v>141</v>
      </c>
      <c r="K45" s="6" t="s">
        <v>43</v>
      </c>
    </row>
    <row r="46" spans="1:11" s="14" customFormat="1" ht="28" x14ac:dyDescent="0.3">
      <c r="A46" s="27" t="str">
        <f>IF(F46="00","General"&amp;INDEX(问题代码结构!$B$12:$B$20,MATCH($E46,问题代码结构!$C$12:$C$20,0)),D46&amp;F46)</f>
        <v>0015</v>
      </c>
      <c r="B46" s="27" t="str">
        <f t="shared" si="0"/>
        <v>个人-交通费-出差</v>
      </c>
      <c r="C46" s="6" t="s">
        <v>142</v>
      </c>
      <c r="D46" s="6" t="s">
        <v>294</v>
      </c>
      <c r="E46" s="6" t="s">
        <v>9</v>
      </c>
      <c r="F46" s="6" t="s">
        <v>309</v>
      </c>
      <c r="G46" s="6" t="s">
        <v>136</v>
      </c>
      <c r="H46" s="6" t="s">
        <v>297</v>
      </c>
      <c r="I46" s="6" t="s">
        <v>22</v>
      </c>
      <c r="J46" s="6" t="s">
        <v>23</v>
      </c>
      <c r="K46" s="6" t="s">
        <v>24</v>
      </c>
    </row>
    <row r="47" spans="1:11" s="14" customFormat="1" x14ac:dyDescent="0.3">
      <c r="A47" s="27" t="str">
        <f>IF(F47="00","General"&amp;INDEX(问题代码结构!$B$12:$B$20,MATCH($E47,问题代码结构!$C$12:$C$20,0)),D47&amp;F47)</f>
        <v>0016</v>
      </c>
      <c r="B47" s="27" t="str">
        <f t="shared" si="0"/>
        <v>个人-个人汽车里程</v>
      </c>
      <c r="C47" s="6" t="s">
        <v>143</v>
      </c>
      <c r="D47" s="6" t="s">
        <v>294</v>
      </c>
      <c r="E47" s="6" t="s">
        <v>9</v>
      </c>
      <c r="F47" s="6" t="s">
        <v>310</v>
      </c>
      <c r="G47" s="6" t="s">
        <v>144</v>
      </c>
      <c r="H47" s="6" t="s">
        <v>295</v>
      </c>
      <c r="I47" s="6" t="s">
        <v>145</v>
      </c>
      <c r="J47" s="6" t="s">
        <v>146</v>
      </c>
      <c r="K47" s="6" t="s">
        <v>147</v>
      </c>
    </row>
    <row r="48" spans="1:11" s="14" customFormat="1" ht="28" x14ac:dyDescent="0.3">
      <c r="A48" s="27" t="str">
        <f>IF(F48="00","General"&amp;INDEX(问题代码结构!$B$12:$B$20,MATCH($E48,问题代码结构!$C$12:$C$20,0)),D48&amp;F48)</f>
        <v>0016</v>
      </c>
      <c r="B48" s="27" t="str">
        <f t="shared" si="0"/>
        <v>个人-个人汽车里程</v>
      </c>
      <c r="C48" s="6" t="s">
        <v>148</v>
      </c>
      <c r="D48" s="6" t="s">
        <v>294</v>
      </c>
      <c r="E48" s="6" t="s">
        <v>9</v>
      </c>
      <c r="F48" s="6" t="s">
        <v>310</v>
      </c>
      <c r="G48" s="6" t="s">
        <v>144</v>
      </c>
      <c r="H48" s="6" t="s">
        <v>296</v>
      </c>
      <c r="I48" s="6" t="s">
        <v>149</v>
      </c>
      <c r="J48" s="6" t="s">
        <v>150</v>
      </c>
      <c r="K48" s="6" t="s">
        <v>147</v>
      </c>
    </row>
    <row r="49" spans="1:11" s="14" customFormat="1" x14ac:dyDescent="0.3">
      <c r="A49" s="27" t="str">
        <f>IF(F49="00","General"&amp;INDEX(问题代码结构!$B$12:$B$20,MATCH($E49,问题代码结构!$C$12:$C$20,0)),D49&amp;F49)</f>
        <v>0017</v>
      </c>
      <c r="B49" s="27" t="str">
        <f t="shared" si="0"/>
        <v>个人-差旅餐费</v>
      </c>
      <c r="C49" s="6" t="s">
        <v>151</v>
      </c>
      <c r="D49" s="6" t="s">
        <v>294</v>
      </c>
      <c r="E49" s="6" t="s">
        <v>9</v>
      </c>
      <c r="F49" s="6" t="s">
        <v>311</v>
      </c>
      <c r="G49" s="6" t="s">
        <v>152</v>
      </c>
      <c r="H49" s="6" t="s">
        <v>295</v>
      </c>
      <c r="I49" s="6" t="s">
        <v>153</v>
      </c>
      <c r="J49" s="6" t="s">
        <v>154</v>
      </c>
      <c r="K49" s="6" t="s">
        <v>155</v>
      </c>
    </row>
    <row r="50" spans="1:11" s="14" customFormat="1" x14ac:dyDescent="0.3">
      <c r="A50" s="27" t="str">
        <f>IF(F50="00","General"&amp;INDEX(问题代码结构!$B$12:$B$20,MATCH($E50,问题代码结构!$C$12:$C$20,0)),D50&amp;F50)</f>
        <v>0017</v>
      </c>
      <c r="B50" s="27" t="str">
        <f t="shared" si="0"/>
        <v>个人-差旅餐费</v>
      </c>
      <c r="C50" s="6" t="s">
        <v>156</v>
      </c>
      <c r="D50" s="6" t="s">
        <v>294</v>
      </c>
      <c r="E50" s="6" t="s">
        <v>9</v>
      </c>
      <c r="F50" s="6" t="s">
        <v>311</v>
      </c>
      <c r="G50" s="6" t="s">
        <v>152</v>
      </c>
      <c r="H50" s="6" t="s">
        <v>296</v>
      </c>
      <c r="I50" s="6" t="s">
        <v>157</v>
      </c>
      <c r="J50" s="6" t="s">
        <v>158</v>
      </c>
      <c r="K50" s="6" t="s">
        <v>159</v>
      </c>
    </row>
    <row r="51" spans="1:11" s="14" customFormat="1" x14ac:dyDescent="0.3">
      <c r="A51" s="27" t="str">
        <f>IF(F51="00","General"&amp;INDEX(问题代码结构!$B$12:$B$20,MATCH($E51,问题代码结构!$C$12:$C$20,0)),D51&amp;F51)</f>
        <v>0017</v>
      </c>
      <c r="B51" s="27" t="str">
        <f t="shared" si="0"/>
        <v>个人-差旅餐费</v>
      </c>
      <c r="C51" s="6" t="s">
        <v>160</v>
      </c>
      <c r="D51" s="6" t="s">
        <v>294</v>
      </c>
      <c r="E51" s="6" t="s">
        <v>9</v>
      </c>
      <c r="F51" s="6" t="s">
        <v>311</v>
      </c>
      <c r="G51" s="6" t="s">
        <v>152</v>
      </c>
      <c r="H51" s="6" t="s">
        <v>297</v>
      </c>
      <c r="I51" s="6" t="s">
        <v>157</v>
      </c>
      <c r="J51" s="6" t="s">
        <v>161</v>
      </c>
      <c r="K51" s="6" t="s">
        <v>159</v>
      </c>
    </row>
    <row r="52" spans="1:11" s="14" customFormat="1" x14ac:dyDescent="0.3">
      <c r="A52" s="27" t="str">
        <f>IF(F52="00","General"&amp;INDEX(问题代码结构!$B$12:$B$20,MATCH($E52,问题代码结构!$C$12:$C$20,0)),D52&amp;F52)</f>
        <v>0018</v>
      </c>
      <c r="B52" s="27" t="str">
        <f t="shared" si="0"/>
        <v>个人-其他差旅费用</v>
      </c>
      <c r="C52" s="6" t="s">
        <v>162</v>
      </c>
      <c r="D52" s="6" t="s">
        <v>294</v>
      </c>
      <c r="E52" s="6" t="s">
        <v>9</v>
      </c>
      <c r="F52" s="6" t="s">
        <v>312</v>
      </c>
      <c r="G52" s="6" t="s">
        <v>163</v>
      </c>
      <c r="H52" s="6" t="s">
        <v>295</v>
      </c>
      <c r="I52" s="6" t="s">
        <v>164</v>
      </c>
      <c r="J52" s="6" t="s">
        <v>165</v>
      </c>
      <c r="K52" s="6" t="s">
        <v>88</v>
      </c>
    </row>
    <row r="53" spans="1:11" s="14" customFormat="1" x14ac:dyDescent="0.3">
      <c r="A53" s="27" t="str">
        <f>IF(F53="00","General"&amp;INDEX(问题代码结构!$B$12:$B$20,MATCH($E53,问题代码结构!$C$12:$C$20,0)),D53&amp;F53)</f>
        <v>0019</v>
      </c>
      <c r="B53" s="27" t="str">
        <f t="shared" si="0"/>
        <v>个人-团队建设</v>
      </c>
      <c r="C53" s="6" t="s">
        <v>166</v>
      </c>
      <c r="D53" s="6" t="s">
        <v>294</v>
      </c>
      <c r="E53" s="6" t="s">
        <v>9</v>
      </c>
      <c r="F53" s="6" t="s">
        <v>313</v>
      </c>
      <c r="G53" s="6" t="s">
        <v>167</v>
      </c>
      <c r="H53" s="6" t="s">
        <v>295</v>
      </c>
      <c r="I53" s="6" t="s">
        <v>168</v>
      </c>
      <c r="J53" s="6" t="s">
        <v>169</v>
      </c>
      <c r="K53" s="6" t="s">
        <v>28</v>
      </c>
    </row>
    <row r="54" spans="1:11" s="14" customFormat="1" x14ac:dyDescent="0.3">
      <c r="A54" s="27" t="str">
        <f>IF(F54="00","General"&amp;INDEX(问题代码结构!$B$12:$B$20,MATCH($E54,问题代码结构!$C$12:$C$20,0)),D54&amp;F54)</f>
        <v>0019</v>
      </c>
      <c r="B54" s="27" t="str">
        <f t="shared" si="0"/>
        <v>个人-团队建设</v>
      </c>
      <c r="C54" s="6" t="s">
        <v>170</v>
      </c>
      <c r="D54" s="6" t="s">
        <v>294</v>
      </c>
      <c r="E54" s="6" t="s">
        <v>9</v>
      </c>
      <c r="F54" s="6" t="s">
        <v>313</v>
      </c>
      <c r="G54" s="6" t="s">
        <v>167</v>
      </c>
      <c r="H54" s="6" t="s">
        <v>296</v>
      </c>
      <c r="I54" s="6" t="s">
        <v>83</v>
      </c>
      <c r="J54" s="6" t="s">
        <v>84</v>
      </c>
      <c r="K54" s="6" t="s">
        <v>28</v>
      </c>
    </row>
    <row r="55" spans="1:11" s="14" customFormat="1" x14ac:dyDescent="0.3">
      <c r="A55" s="27" t="str">
        <f>IF(F55="00","General"&amp;INDEX(问题代码结构!$B$12:$B$20,MATCH($E55,问题代码结构!$C$12:$C$20,0)),D55&amp;F55)</f>
        <v>0019</v>
      </c>
      <c r="B55" s="27" t="str">
        <f t="shared" si="0"/>
        <v>个人-团队建设</v>
      </c>
      <c r="C55" s="6" t="s">
        <v>171</v>
      </c>
      <c r="D55" s="6" t="s">
        <v>294</v>
      </c>
      <c r="E55" s="6" t="s">
        <v>9</v>
      </c>
      <c r="F55" s="6" t="s">
        <v>313</v>
      </c>
      <c r="G55" s="6" t="s">
        <v>167</v>
      </c>
      <c r="H55" s="6" t="s">
        <v>297</v>
      </c>
      <c r="I55" s="6" t="s">
        <v>86</v>
      </c>
      <c r="J55" s="6" t="s">
        <v>87</v>
      </c>
      <c r="K55" s="6" t="s">
        <v>88</v>
      </c>
    </row>
    <row r="56" spans="1:11" s="14" customFormat="1" x14ac:dyDescent="0.3">
      <c r="A56" s="27" t="str">
        <f>IF(F56="00","General"&amp;INDEX(问题代码结构!$B$12:$B$20,MATCH($E56,问题代码结构!$C$12:$C$20,0)),D56&amp;F56)</f>
        <v>0019</v>
      </c>
      <c r="B56" s="27" t="str">
        <f t="shared" si="0"/>
        <v>个人-团队建设</v>
      </c>
      <c r="C56" s="6" t="s">
        <v>172</v>
      </c>
      <c r="D56" s="6" t="s">
        <v>294</v>
      </c>
      <c r="E56" s="6" t="s">
        <v>9</v>
      </c>
      <c r="F56" s="6" t="s">
        <v>313</v>
      </c>
      <c r="G56" s="6" t="s">
        <v>167</v>
      </c>
      <c r="H56" s="6" t="s">
        <v>298</v>
      </c>
      <c r="I56" s="6" t="s">
        <v>173</v>
      </c>
      <c r="J56" s="6" t="s">
        <v>61</v>
      </c>
      <c r="K56" s="6" t="s">
        <v>28</v>
      </c>
    </row>
    <row r="57" spans="1:11" s="14" customFormat="1" x14ac:dyDescent="0.3">
      <c r="A57" s="27" t="str">
        <f>IF(F57="00","General"&amp;INDEX(问题代码结构!$B$12:$B$20,MATCH($E57,问题代码结构!$C$12:$C$20,0)),D57&amp;F57)</f>
        <v>0020</v>
      </c>
      <c r="B57" s="27" t="str">
        <f t="shared" si="0"/>
        <v>个人-内部会议/活动</v>
      </c>
      <c r="C57" s="6" t="s">
        <v>174</v>
      </c>
      <c r="D57" s="6" t="s">
        <v>294</v>
      </c>
      <c r="E57" s="6" t="s">
        <v>9</v>
      </c>
      <c r="F57" s="6" t="s">
        <v>314</v>
      </c>
      <c r="G57" s="6" t="s">
        <v>175</v>
      </c>
      <c r="H57" s="6" t="s">
        <v>295</v>
      </c>
      <c r="I57" s="6" t="s">
        <v>168</v>
      </c>
      <c r="J57" s="6" t="s">
        <v>176</v>
      </c>
      <c r="K57" s="6" t="s">
        <v>28</v>
      </c>
    </row>
    <row r="58" spans="1:11" s="14" customFormat="1" x14ac:dyDescent="0.3">
      <c r="A58" s="27" t="str">
        <f>IF(F58="00","General"&amp;INDEX(问题代码结构!$B$12:$B$20,MATCH($E58,问题代码结构!$C$12:$C$20,0)),D58&amp;F58)</f>
        <v>0020</v>
      </c>
      <c r="B58" s="27" t="str">
        <f t="shared" si="0"/>
        <v>个人-内部会议/活动</v>
      </c>
      <c r="C58" s="6" t="s">
        <v>177</v>
      </c>
      <c r="D58" s="6" t="s">
        <v>294</v>
      </c>
      <c r="E58" s="6" t="s">
        <v>9</v>
      </c>
      <c r="F58" s="6" t="s">
        <v>314</v>
      </c>
      <c r="G58" s="6" t="s">
        <v>175</v>
      </c>
      <c r="H58" s="6" t="s">
        <v>296</v>
      </c>
      <c r="I58" s="6" t="s">
        <v>173</v>
      </c>
      <c r="J58" s="6" t="s">
        <v>61</v>
      </c>
      <c r="K58" s="6" t="s">
        <v>28</v>
      </c>
    </row>
    <row r="59" spans="1:11" s="14" customFormat="1" x14ac:dyDescent="0.3">
      <c r="A59" s="27" t="str">
        <f>IF(F59="00","General"&amp;INDEX(问题代码结构!$B$12:$B$20,MATCH($E59,问题代码结构!$C$12:$C$20,0)),D59&amp;F59)</f>
        <v>0020</v>
      </c>
      <c r="B59" s="27" t="str">
        <f t="shared" si="0"/>
        <v>个人-内部会议/活动</v>
      </c>
      <c r="C59" s="6" t="s">
        <v>178</v>
      </c>
      <c r="D59" s="6" t="s">
        <v>294</v>
      </c>
      <c r="E59" s="6" t="s">
        <v>9</v>
      </c>
      <c r="F59" s="6" t="s">
        <v>314</v>
      </c>
      <c r="G59" s="6" t="s">
        <v>175</v>
      </c>
      <c r="H59" s="6" t="s">
        <v>297</v>
      </c>
      <c r="I59" s="6" t="s">
        <v>179</v>
      </c>
      <c r="J59" s="6" t="s">
        <v>180</v>
      </c>
      <c r="K59" s="6" t="s">
        <v>181</v>
      </c>
    </row>
    <row r="60" spans="1:11" s="14" customFormat="1" x14ac:dyDescent="0.3">
      <c r="A60" s="27" t="str">
        <f>IF(F60="00","General"&amp;INDEX(问题代码结构!$B$12:$B$20,MATCH($E60,问题代码结构!$C$12:$C$20,0)),D60&amp;F60)</f>
        <v>0020</v>
      </c>
      <c r="B60" s="27" t="str">
        <f t="shared" si="0"/>
        <v>个人-内部会议/活动</v>
      </c>
      <c r="C60" s="6" t="s">
        <v>182</v>
      </c>
      <c r="D60" s="6" t="s">
        <v>294</v>
      </c>
      <c r="E60" s="6" t="s">
        <v>9</v>
      </c>
      <c r="F60" s="6" t="s">
        <v>314</v>
      </c>
      <c r="G60" s="6" t="s">
        <v>175</v>
      </c>
      <c r="H60" s="6" t="s">
        <v>298</v>
      </c>
      <c r="I60" s="6" t="s">
        <v>83</v>
      </c>
      <c r="J60" s="6" t="s">
        <v>84</v>
      </c>
      <c r="K60" s="6" t="s">
        <v>28</v>
      </c>
    </row>
    <row r="61" spans="1:11" s="14" customFormat="1" x14ac:dyDescent="0.3">
      <c r="A61" s="27" t="str">
        <f>IF(F61="00","General"&amp;INDEX(问题代码结构!$B$12:$B$20,MATCH($E61,问题代码结构!$C$12:$C$20,0)),D61&amp;F61)</f>
        <v>0020</v>
      </c>
      <c r="B61" s="27" t="str">
        <f t="shared" si="0"/>
        <v>个人-内部会议/活动</v>
      </c>
      <c r="C61" s="6" t="s">
        <v>183</v>
      </c>
      <c r="D61" s="6" t="s">
        <v>294</v>
      </c>
      <c r="E61" s="6" t="s">
        <v>9</v>
      </c>
      <c r="F61" s="6" t="s">
        <v>314</v>
      </c>
      <c r="G61" s="6" t="s">
        <v>175</v>
      </c>
      <c r="H61" s="6" t="s">
        <v>299</v>
      </c>
      <c r="I61" s="6" t="s">
        <v>86</v>
      </c>
      <c r="J61" s="6" t="s">
        <v>87</v>
      </c>
      <c r="K61" s="6" t="s">
        <v>88</v>
      </c>
    </row>
    <row r="62" spans="1:11" s="14" customFormat="1" x14ac:dyDescent="0.3">
      <c r="A62" s="27" t="str">
        <f>IF(F62="00","General"&amp;INDEX(问题代码结构!$B$12:$B$20,MATCH($E62,问题代码结构!$C$12:$C$20,0)),D62&amp;F62)</f>
        <v>0020</v>
      </c>
      <c r="B62" s="27" t="str">
        <f t="shared" si="0"/>
        <v>个人-内部会议/活动</v>
      </c>
      <c r="C62" s="6" t="s">
        <v>184</v>
      </c>
      <c r="D62" s="6" t="s">
        <v>294</v>
      </c>
      <c r="E62" s="6" t="s">
        <v>9</v>
      </c>
      <c r="F62" s="6" t="s">
        <v>314</v>
      </c>
      <c r="G62" s="6" t="s">
        <v>175</v>
      </c>
      <c r="H62" s="6" t="s">
        <v>300</v>
      </c>
      <c r="I62" s="6" t="s">
        <v>185</v>
      </c>
      <c r="J62" s="6" t="s">
        <v>186</v>
      </c>
      <c r="K62" s="6" t="s">
        <v>187</v>
      </c>
    </row>
    <row r="63" spans="1:11" s="14" customFormat="1" x14ac:dyDescent="0.3">
      <c r="A63" s="27" t="str">
        <f>IF(F63="00","General"&amp;INDEX(问题代码结构!$B$12:$B$20,MATCH($E63,问题代码结构!$C$12:$C$20,0)),D63&amp;F63)</f>
        <v>0021</v>
      </c>
      <c r="B63" s="27" t="str">
        <f t="shared" si="0"/>
        <v>个人-内部会议-礼品/奖品</v>
      </c>
      <c r="C63" s="6" t="s">
        <v>188</v>
      </c>
      <c r="D63" s="6" t="s">
        <v>294</v>
      </c>
      <c r="E63" s="6" t="s">
        <v>9</v>
      </c>
      <c r="F63" s="6" t="s">
        <v>315</v>
      </c>
      <c r="G63" s="6" t="s">
        <v>189</v>
      </c>
      <c r="H63" s="6" t="s">
        <v>295</v>
      </c>
      <c r="I63" s="6" t="s">
        <v>168</v>
      </c>
      <c r="J63" s="6" t="s">
        <v>169</v>
      </c>
      <c r="K63" s="6" t="s">
        <v>58</v>
      </c>
    </row>
    <row r="64" spans="1:11" s="14" customFormat="1" x14ac:dyDescent="0.3">
      <c r="A64" s="27" t="str">
        <f>IF(F64="00","General"&amp;INDEX(问题代码结构!$B$12:$B$20,MATCH($E64,问题代码结构!$C$12:$C$20,0)),D64&amp;F64)</f>
        <v>0021</v>
      </c>
      <c r="B64" s="27" t="str">
        <f t="shared" si="0"/>
        <v>个人-内部会议-礼品/奖品</v>
      </c>
      <c r="C64" s="6" t="s">
        <v>190</v>
      </c>
      <c r="D64" s="6" t="s">
        <v>294</v>
      </c>
      <c r="E64" s="6" t="s">
        <v>9</v>
      </c>
      <c r="F64" s="6" t="s">
        <v>315</v>
      </c>
      <c r="G64" s="6" t="s">
        <v>189</v>
      </c>
      <c r="H64" s="6" t="s">
        <v>296</v>
      </c>
      <c r="I64" s="6" t="s">
        <v>83</v>
      </c>
      <c r="J64" s="6" t="s">
        <v>84</v>
      </c>
      <c r="K64" s="6" t="s">
        <v>28</v>
      </c>
    </row>
    <row r="65" spans="1:11" s="14" customFormat="1" x14ac:dyDescent="0.3">
      <c r="A65" s="27" t="str">
        <f>IF(F65="00","General"&amp;INDEX(问题代码结构!$B$12:$B$20,MATCH($E65,问题代码结构!$C$12:$C$20,0)),D65&amp;F65)</f>
        <v>0021</v>
      </c>
      <c r="B65" s="27" t="str">
        <f t="shared" si="0"/>
        <v>个人-内部会议-礼品/奖品</v>
      </c>
      <c r="C65" s="6" t="s">
        <v>191</v>
      </c>
      <c r="D65" s="6" t="s">
        <v>294</v>
      </c>
      <c r="E65" s="6" t="s">
        <v>9</v>
      </c>
      <c r="F65" s="6" t="s">
        <v>315</v>
      </c>
      <c r="G65" s="6" t="s">
        <v>189</v>
      </c>
      <c r="H65" s="6" t="s">
        <v>297</v>
      </c>
      <c r="I65" s="6" t="s">
        <v>86</v>
      </c>
      <c r="J65" s="6" t="s">
        <v>87</v>
      </c>
      <c r="K65" s="6" t="s">
        <v>88</v>
      </c>
    </row>
    <row r="66" spans="1:11" s="14" customFormat="1" x14ac:dyDescent="0.3">
      <c r="A66" s="27" t="str">
        <f>IF(F66="00","General"&amp;INDEX(问题代码结构!$B$12:$B$20,MATCH($E66,问题代码结构!$C$12:$C$20,0)),D66&amp;F66)</f>
        <v>0021</v>
      </c>
      <c r="B66" s="27" t="str">
        <f t="shared" si="0"/>
        <v>个人-内部会议-礼品/奖品</v>
      </c>
      <c r="C66" s="6" t="s">
        <v>192</v>
      </c>
      <c r="D66" s="6" t="s">
        <v>294</v>
      </c>
      <c r="E66" s="6" t="s">
        <v>9</v>
      </c>
      <c r="F66" s="6" t="s">
        <v>315</v>
      </c>
      <c r="G66" s="6" t="s">
        <v>193</v>
      </c>
      <c r="H66" s="6" t="s">
        <v>298</v>
      </c>
      <c r="I66" s="6" t="s">
        <v>194</v>
      </c>
      <c r="J66" s="6" t="s">
        <v>195</v>
      </c>
      <c r="K66" s="6" t="s">
        <v>28</v>
      </c>
    </row>
    <row r="67" spans="1:11" s="14" customFormat="1" x14ac:dyDescent="0.3">
      <c r="A67" s="27" t="str">
        <f>IF(F67="00","General"&amp;INDEX(问题代码结构!$B$12:$B$20,MATCH($E67,问题代码结构!$C$12:$C$20,0)),D67&amp;F67)</f>
        <v>0021</v>
      </c>
      <c r="B67" s="27" t="str">
        <f t="shared" ref="B67:B127" si="1">E67&amp;"-"&amp;G67</f>
        <v>个人-内部会议-礼品/奖品</v>
      </c>
      <c r="C67" s="6" t="s">
        <v>196</v>
      </c>
      <c r="D67" s="6" t="s">
        <v>294</v>
      </c>
      <c r="E67" s="6" t="s">
        <v>9</v>
      </c>
      <c r="F67" s="6" t="s">
        <v>315</v>
      </c>
      <c r="G67" s="6" t="s">
        <v>193</v>
      </c>
      <c r="H67" s="6" t="s">
        <v>299</v>
      </c>
      <c r="I67" s="6" t="s">
        <v>197</v>
      </c>
      <c r="J67" s="6" t="s">
        <v>198</v>
      </c>
      <c r="K67" s="6" t="s">
        <v>199</v>
      </c>
    </row>
    <row r="68" spans="1:11" s="14" customFormat="1" x14ac:dyDescent="0.3">
      <c r="A68" s="27" t="str">
        <f>IF(F68="00","General"&amp;INDEX(问题代码结构!$B$12:$B$20,MATCH($E68,问题代码结构!$C$12:$C$20,0)),D68&amp;F68)</f>
        <v>0021</v>
      </c>
      <c r="B68" s="27" t="str">
        <f t="shared" si="1"/>
        <v>个人-内部会议-礼品/奖品</v>
      </c>
      <c r="C68" s="6" t="s">
        <v>200</v>
      </c>
      <c r="D68" s="6" t="s">
        <v>294</v>
      </c>
      <c r="E68" s="6" t="s">
        <v>9</v>
      </c>
      <c r="F68" s="6" t="s">
        <v>315</v>
      </c>
      <c r="G68" s="6" t="s">
        <v>193</v>
      </c>
      <c r="H68" s="6" t="s">
        <v>300</v>
      </c>
      <c r="I68" s="6" t="s">
        <v>201</v>
      </c>
      <c r="J68" s="6" t="s">
        <v>202</v>
      </c>
      <c r="K68" s="6" t="s">
        <v>199</v>
      </c>
    </row>
    <row r="69" spans="1:11" s="14" customFormat="1" x14ac:dyDescent="0.3">
      <c r="A69" s="27" t="str">
        <f>IF(F69="00","General"&amp;INDEX(问题代码结构!$B$12:$B$20,MATCH($E69,问题代码结构!$C$12:$C$20,0)),D69&amp;F69)</f>
        <v>0022</v>
      </c>
      <c r="B69" s="27" t="str">
        <f t="shared" si="1"/>
        <v>个人-早餐</v>
      </c>
      <c r="C69" s="6" t="s">
        <v>203</v>
      </c>
      <c r="D69" s="6" t="s">
        <v>294</v>
      </c>
      <c r="E69" s="6" t="s">
        <v>9</v>
      </c>
      <c r="F69" s="6" t="s">
        <v>316</v>
      </c>
      <c r="G69" s="6" t="s">
        <v>204</v>
      </c>
      <c r="H69" s="6" t="s">
        <v>295</v>
      </c>
      <c r="I69" s="6" t="s">
        <v>168</v>
      </c>
      <c r="J69" s="6" t="s">
        <v>169</v>
      </c>
      <c r="K69" s="6" t="s">
        <v>58</v>
      </c>
    </row>
    <row r="70" spans="1:11" s="14" customFormat="1" x14ac:dyDescent="0.3">
      <c r="A70" s="27" t="str">
        <f>IF(F70="00","General"&amp;INDEX(问题代码结构!$B$12:$B$20,MATCH($E70,问题代码结构!$C$12:$C$20,0)),D70&amp;F70)</f>
        <v>0022</v>
      </c>
      <c r="B70" s="27" t="str">
        <f t="shared" si="1"/>
        <v>个人-早餐</v>
      </c>
      <c r="C70" s="6" t="s">
        <v>205</v>
      </c>
      <c r="D70" s="6" t="s">
        <v>294</v>
      </c>
      <c r="E70" s="6" t="s">
        <v>9</v>
      </c>
      <c r="F70" s="6" t="s">
        <v>316</v>
      </c>
      <c r="G70" s="6" t="s">
        <v>204</v>
      </c>
      <c r="H70" s="6" t="s">
        <v>296</v>
      </c>
      <c r="I70" s="6" t="s">
        <v>173</v>
      </c>
      <c r="J70" s="6" t="s">
        <v>61</v>
      </c>
      <c r="K70" s="6" t="s">
        <v>28</v>
      </c>
    </row>
    <row r="71" spans="1:11" s="14" customFormat="1" x14ac:dyDescent="0.3">
      <c r="A71" s="27" t="str">
        <f>IF(F71="00","General"&amp;INDEX(问题代码结构!$B$12:$B$20,MATCH($E71,问题代码结构!$C$12:$C$20,0)),D71&amp;F71)</f>
        <v>0022</v>
      </c>
      <c r="B71" s="27" t="str">
        <f t="shared" si="1"/>
        <v>个人-早餐</v>
      </c>
      <c r="C71" s="6" t="s">
        <v>206</v>
      </c>
      <c r="D71" s="6" t="s">
        <v>294</v>
      </c>
      <c r="E71" s="6" t="s">
        <v>9</v>
      </c>
      <c r="F71" s="6" t="s">
        <v>316</v>
      </c>
      <c r="G71" s="6" t="s">
        <v>204</v>
      </c>
      <c r="H71" s="6" t="s">
        <v>297</v>
      </c>
      <c r="I71" s="6" t="s">
        <v>83</v>
      </c>
      <c r="J71" s="6" t="s">
        <v>84</v>
      </c>
      <c r="K71" s="6" t="s">
        <v>28</v>
      </c>
    </row>
    <row r="72" spans="1:11" s="14" customFormat="1" x14ac:dyDescent="0.3">
      <c r="A72" s="27" t="str">
        <f>IF(F72="00","General"&amp;INDEX(问题代码结构!$B$12:$B$20,MATCH($E72,问题代码结构!$C$12:$C$20,0)),D72&amp;F72)</f>
        <v>0022</v>
      </c>
      <c r="B72" s="27" t="str">
        <f t="shared" si="1"/>
        <v>个人-早餐</v>
      </c>
      <c r="C72" s="6" t="s">
        <v>207</v>
      </c>
      <c r="D72" s="6" t="s">
        <v>294</v>
      </c>
      <c r="E72" s="6" t="s">
        <v>9</v>
      </c>
      <c r="F72" s="6" t="s">
        <v>316</v>
      </c>
      <c r="G72" s="6" t="s">
        <v>204</v>
      </c>
      <c r="H72" s="6" t="s">
        <v>298</v>
      </c>
      <c r="I72" s="6" t="s">
        <v>86</v>
      </c>
      <c r="J72" s="6" t="s">
        <v>87</v>
      </c>
      <c r="K72" s="6" t="s">
        <v>88</v>
      </c>
    </row>
    <row r="73" spans="1:11" s="14" customFormat="1" ht="28" x14ac:dyDescent="0.3">
      <c r="A73" s="27" t="str">
        <f>IF(F73="00","General"&amp;INDEX(问题代码结构!$B$12:$B$20,MATCH($E73,问题代码结构!$C$12:$C$20,0)),D73&amp;F73)</f>
        <v>0022</v>
      </c>
      <c r="B73" s="27" t="str">
        <f t="shared" si="1"/>
        <v>个人-早餐</v>
      </c>
      <c r="C73" s="6" t="s">
        <v>208</v>
      </c>
      <c r="D73" s="6" t="s">
        <v>294</v>
      </c>
      <c r="E73" s="6" t="s">
        <v>9</v>
      </c>
      <c r="F73" s="6" t="s">
        <v>316</v>
      </c>
      <c r="G73" s="6" t="s">
        <v>204</v>
      </c>
      <c r="H73" s="6" t="s">
        <v>299</v>
      </c>
      <c r="I73" s="6" t="s">
        <v>209</v>
      </c>
      <c r="J73" s="6" t="s">
        <v>210</v>
      </c>
      <c r="K73" s="6" t="s">
        <v>28</v>
      </c>
    </row>
    <row r="74" spans="1:11" s="14" customFormat="1" ht="28" x14ac:dyDescent="0.3">
      <c r="A74" s="27" t="str">
        <f>IF(F74="00","General"&amp;INDEX(问题代码结构!$B$12:$B$20,MATCH($E74,问题代码结构!$C$12:$C$20,0)),D74&amp;F74)</f>
        <v>0022</v>
      </c>
      <c r="B74" s="27" t="str">
        <f t="shared" si="1"/>
        <v>个人-早餐</v>
      </c>
      <c r="C74" s="6" t="s">
        <v>211</v>
      </c>
      <c r="D74" s="6" t="s">
        <v>294</v>
      </c>
      <c r="E74" s="6" t="s">
        <v>9</v>
      </c>
      <c r="F74" s="6" t="s">
        <v>316</v>
      </c>
      <c r="G74" s="6" t="s">
        <v>204</v>
      </c>
      <c r="H74" s="6" t="s">
        <v>300</v>
      </c>
      <c r="I74" s="6" t="s">
        <v>212</v>
      </c>
      <c r="J74" s="6" t="s">
        <v>213</v>
      </c>
      <c r="K74" s="6" t="s">
        <v>28</v>
      </c>
    </row>
    <row r="75" spans="1:11" s="14" customFormat="1" x14ac:dyDescent="0.3">
      <c r="A75" s="27" t="str">
        <f>IF(F75="00","General"&amp;INDEX(问题代码结构!$B$12:$B$20,MATCH($E75,问题代码结构!$C$12:$C$20,0)),D75&amp;F75)</f>
        <v>0022</v>
      </c>
      <c r="B75" s="27" t="str">
        <f t="shared" si="1"/>
        <v>个人-早餐</v>
      </c>
      <c r="C75" s="6" t="s">
        <v>214</v>
      </c>
      <c r="D75" s="6" t="s">
        <v>294</v>
      </c>
      <c r="E75" s="6" t="s">
        <v>9</v>
      </c>
      <c r="F75" s="6" t="s">
        <v>316</v>
      </c>
      <c r="G75" s="6" t="s">
        <v>204</v>
      </c>
      <c r="H75" s="6" t="s">
        <v>301</v>
      </c>
      <c r="I75" s="6" t="s">
        <v>215</v>
      </c>
      <c r="J75" s="6" t="s">
        <v>216</v>
      </c>
      <c r="K75" s="6" t="s">
        <v>217</v>
      </c>
    </row>
    <row r="76" spans="1:11" s="14" customFormat="1" x14ac:dyDescent="0.3">
      <c r="A76" s="27" t="str">
        <f>IF(F76="00","General"&amp;INDEX(问题代码结构!$B$12:$B$20,MATCH($E76,问题代码结构!$C$12:$C$20,0)),D76&amp;F76)</f>
        <v>0023</v>
      </c>
      <c r="B76" s="27" t="str">
        <f t="shared" si="1"/>
        <v>个人-午餐</v>
      </c>
      <c r="C76" s="6" t="s">
        <v>218</v>
      </c>
      <c r="D76" s="6" t="s">
        <v>294</v>
      </c>
      <c r="E76" s="6" t="s">
        <v>9</v>
      </c>
      <c r="F76" s="6" t="s">
        <v>317</v>
      </c>
      <c r="G76" s="6" t="s">
        <v>219</v>
      </c>
      <c r="H76" s="6" t="s">
        <v>295</v>
      </c>
      <c r="I76" s="6" t="s">
        <v>168</v>
      </c>
      <c r="J76" s="6" t="s">
        <v>169</v>
      </c>
      <c r="K76" s="6" t="s">
        <v>58</v>
      </c>
    </row>
    <row r="77" spans="1:11" s="14" customFormat="1" x14ac:dyDescent="0.3">
      <c r="A77" s="27" t="str">
        <f>IF(F77="00","General"&amp;INDEX(问题代码结构!$B$12:$B$20,MATCH($E77,问题代码结构!$C$12:$C$20,0)),D77&amp;F77)</f>
        <v>0023</v>
      </c>
      <c r="B77" s="27" t="str">
        <f t="shared" si="1"/>
        <v>个人-午餐</v>
      </c>
      <c r="C77" s="6" t="s">
        <v>220</v>
      </c>
      <c r="D77" s="6" t="s">
        <v>294</v>
      </c>
      <c r="E77" s="6" t="s">
        <v>9</v>
      </c>
      <c r="F77" s="6" t="s">
        <v>317</v>
      </c>
      <c r="G77" s="6" t="s">
        <v>219</v>
      </c>
      <c r="H77" s="6" t="s">
        <v>296</v>
      </c>
      <c r="I77" s="6" t="s">
        <v>173</v>
      </c>
      <c r="J77" s="6" t="s">
        <v>61</v>
      </c>
      <c r="K77" s="6" t="s">
        <v>28</v>
      </c>
    </row>
    <row r="78" spans="1:11" s="14" customFormat="1" x14ac:dyDescent="0.3">
      <c r="A78" s="27" t="str">
        <f>IF(F78="00","General"&amp;INDEX(问题代码结构!$B$12:$B$20,MATCH($E78,问题代码结构!$C$12:$C$20,0)),D78&amp;F78)</f>
        <v>0023</v>
      </c>
      <c r="B78" s="27" t="str">
        <f t="shared" si="1"/>
        <v>个人-午餐</v>
      </c>
      <c r="C78" s="6" t="s">
        <v>221</v>
      </c>
      <c r="D78" s="6" t="s">
        <v>294</v>
      </c>
      <c r="E78" s="6" t="s">
        <v>9</v>
      </c>
      <c r="F78" s="6" t="s">
        <v>317</v>
      </c>
      <c r="G78" s="6" t="s">
        <v>219</v>
      </c>
      <c r="H78" s="6" t="s">
        <v>297</v>
      </c>
      <c r="I78" s="6" t="s">
        <v>83</v>
      </c>
      <c r="J78" s="6" t="s">
        <v>84</v>
      </c>
      <c r="K78" s="6" t="s">
        <v>28</v>
      </c>
    </row>
    <row r="79" spans="1:11" s="14" customFormat="1" x14ac:dyDescent="0.3">
      <c r="A79" s="27" t="str">
        <f>IF(F79="00","General"&amp;INDEX(问题代码结构!$B$12:$B$20,MATCH($E79,问题代码结构!$C$12:$C$20,0)),D79&amp;F79)</f>
        <v>0023</v>
      </c>
      <c r="B79" s="27" t="str">
        <f t="shared" si="1"/>
        <v>个人-午餐</v>
      </c>
      <c r="C79" s="6" t="s">
        <v>222</v>
      </c>
      <c r="D79" s="6" t="s">
        <v>294</v>
      </c>
      <c r="E79" s="6" t="s">
        <v>9</v>
      </c>
      <c r="F79" s="6" t="s">
        <v>317</v>
      </c>
      <c r="G79" s="6" t="s">
        <v>219</v>
      </c>
      <c r="H79" s="6" t="s">
        <v>298</v>
      </c>
      <c r="I79" s="6" t="s">
        <v>86</v>
      </c>
      <c r="J79" s="6" t="s">
        <v>87</v>
      </c>
      <c r="K79" s="6" t="s">
        <v>88</v>
      </c>
    </row>
    <row r="80" spans="1:11" s="14" customFormat="1" ht="28" x14ac:dyDescent="0.3">
      <c r="A80" s="27" t="str">
        <f>IF(F80="00","General"&amp;INDEX(问题代码结构!$B$12:$B$20,MATCH($E80,问题代码结构!$C$12:$C$20,0)),D80&amp;F80)</f>
        <v>0023</v>
      </c>
      <c r="B80" s="27" t="str">
        <f t="shared" si="1"/>
        <v>个人-午餐</v>
      </c>
      <c r="C80" s="6" t="s">
        <v>223</v>
      </c>
      <c r="D80" s="6" t="s">
        <v>294</v>
      </c>
      <c r="E80" s="6" t="s">
        <v>9</v>
      </c>
      <c r="F80" s="6" t="s">
        <v>317</v>
      </c>
      <c r="G80" s="6" t="s">
        <v>219</v>
      </c>
      <c r="H80" s="6" t="s">
        <v>299</v>
      </c>
      <c r="I80" s="6" t="s">
        <v>209</v>
      </c>
      <c r="J80" s="6" t="s">
        <v>210</v>
      </c>
      <c r="K80" s="6" t="s">
        <v>28</v>
      </c>
    </row>
    <row r="81" spans="1:11" s="14" customFormat="1" ht="28" x14ac:dyDescent="0.3">
      <c r="A81" s="27" t="str">
        <f>IF(F81="00","General"&amp;INDEX(问题代码结构!$B$12:$B$20,MATCH($E81,问题代码结构!$C$12:$C$20,0)),D81&amp;F81)</f>
        <v>0023</v>
      </c>
      <c r="B81" s="27" t="str">
        <f t="shared" si="1"/>
        <v>个人-午餐</v>
      </c>
      <c r="C81" s="6" t="s">
        <v>224</v>
      </c>
      <c r="D81" s="6" t="s">
        <v>294</v>
      </c>
      <c r="E81" s="6" t="s">
        <v>9</v>
      </c>
      <c r="F81" s="6" t="s">
        <v>317</v>
      </c>
      <c r="G81" s="6" t="s">
        <v>219</v>
      </c>
      <c r="H81" s="6" t="s">
        <v>300</v>
      </c>
      <c r="I81" s="6" t="s">
        <v>212</v>
      </c>
      <c r="J81" s="6" t="s">
        <v>213</v>
      </c>
      <c r="K81" s="6" t="s">
        <v>28</v>
      </c>
    </row>
    <row r="82" spans="1:11" s="14" customFormat="1" x14ac:dyDescent="0.3">
      <c r="A82" s="27" t="str">
        <f>IF(F82="00","General"&amp;INDEX(问题代码结构!$B$12:$B$20,MATCH($E82,问题代码结构!$C$12:$C$20,0)),D82&amp;F82)</f>
        <v>0023</v>
      </c>
      <c r="B82" s="27" t="str">
        <f t="shared" si="1"/>
        <v>个人-午餐</v>
      </c>
      <c r="C82" s="6" t="s">
        <v>225</v>
      </c>
      <c r="D82" s="6" t="s">
        <v>294</v>
      </c>
      <c r="E82" s="6" t="s">
        <v>9</v>
      </c>
      <c r="F82" s="6" t="s">
        <v>317</v>
      </c>
      <c r="G82" s="6" t="s">
        <v>219</v>
      </c>
      <c r="H82" s="6" t="s">
        <v>301</v>
      </c>
      <c r="I82" s="6" t="s">
        <v>215</v>
      </c>
      <c r="J82" s="6" t="s">
        <v>216</v>
      </c>
      <c r="K82" s="6" t="s">
        <v>217</v>
      </c>
    </row>
    <row r="83" spans="1:11" s="14" customFormat="1" x14ac:dyDescent="0.3">
      <c r="A83" s="27" t="str">
        <f>IF(F83="00","General"&amp;INDEX(问题代码结构!$B$12:$B$20,MATCH($E83,问题代码结构!$C$12:$C$20,0)),D83&amp;F83)</f>
        <v>0024</v>
      </c>
      <c r="B83" s="27" t="str">
        <f t="shared" si="1"/>
        <v>个人-晚餐</v>
      </c>
      <c r="C83" s="6" t="s">
        <v>226</v>
      </c>
      <c r="D83" s="6" t="s">
        <v>294</v>
      </c>
      <c r="E83" s="6" t="s">
        <v>9</v>
      </c>
      <c r="F83" s="6" t="s">
        <v>318</v>
      </c>
      <c r="G83" s="6" t="s">
        <v>227</v>
      </c>
      <c r="H83" s="6" t="s">
        <v>295</v>
      </c>
      <c r="I83" s="6" t="s">
        <v>168</v>
      </c>
      <c r="J83" s="6" t="s">
        <v>169</v>
      </c>
      <c r="K83" s="6" t="s">
        <v>58</v>
      </c>
    </row>
    <row r="84" spans="1:11" s="14" customFormat="1" x14ac:dyDescent="0.3">
      <c r="A84" s="27" t="str">
        <f>IF(F84="00","General"&amp;INDEX(问题代码结构!$B$12:$B$20,MATCH($E84,问题代码结构!$C$12:$C$20,0)),D84&amp;F84)</f>
        <v>0024</v>
      </c>
      <c r="B84" s="27" t="str">
        <f t="shared" si="1"/>
        <v>个人-晚餐</v>
      </c>
      <c r="C84" s="6" t="s">
        <v>228</v>
      </c>
      <c r="D84" s="6" t="s">
        <v>294</v>
      </c>
      <c r="E84" s="6" t="s">
        <v>9</v>
      </c>
      <c r="F84" s="6" t="s">
        <v>318</v>
      </c>
      <c r="G84" s="6" t="s">
        <v>227</v>
      </c>
      <c r="H84" s="6" t="s">
        <v>296</v>
      </c>
      <c r="I84" s="6" t="s">
        <v>173</v>
      </c>
      <c r="J84" s="6" t="s">
        <v>61</v>
      </c>
      <c r="K84" s="6" t="s">
        <v>28</v>
      </c>
    </row>
    <row r="85" spans="1:11" s="14" customFormat="1" x14ac:dyDescent="0.3">
      <c r="A85" s="27" t="str">
        <f>IF(F85="00","General"&amp;INDEX(问题代码结构!$B$12:$B$20,MATCH($E85,问题代码结构!$C$12:$C$20,0)),D85&amp;F85)</f>
        <v>0024</v>
      </c>
      <c r="B85" s="27" t="str">
        <f t="shared" si="1"/>
        <v>个人-晚餐</v>
      </c>
      <c r="C85" s="6" t="s">
        <v>229</v>
      </c>
      <c r="D85" s="6" t="s">
        <v>294</v>
      </c>
      <c r="E85" s="6" t="s">
        <v>9</v>
      </c>
      <c r="F85" s="6" t="s">
        <v>318</v>
      </c>
      <c r="G85" s="6" t="s">
        <v>227</v>
      </c>
      <c r="H85" s="6" t="s">
        <v>297</v>
      </c>
      <c r="I85" s="6" t="s">
        <v>83</v>
      </c>
      <c r="J85" s="6" t="s">
        <v>84</v>
      </c>
      <c r="K85" s="6" t="s">
        <v>28</v>
      </c>
    </row>
    <row r="86" spans="1:11" s="14" customFormat="1" x14ac:dyDescent="0.3">
      <c r="A86" s="27" t="str">
        <f>IF(F86="00","General"&amp;INDEX(问题代码结构!$B$12:$B$20,MATCH($E86,问题代码结构!$C$12:$C$20,0)),D86&amp;F86)</f>
        <v>0024</v>
      </c>
      <c r="B86" s="27" t="str">
        <f t="shared" si="1"/>
        <v>个人-晚餐</v>
      </c>
      <c r="C86" s="6" t="s">
        <v>230</v>
      </c>
      <c r="D86" s="6" t="s">
        <v>294</v>
      </c>
      <c r="E86" s="6" t="s">
        <v>9</v>
      </c>
      <c r="F86" s="6" t="s">
        <v>318</v>
      </c>
      <c r="G86" s="6" t="s">
        <v>227</v>
      </c>
      <c r="H86" s="6" t="s">
        <v>298</v>
      </c>
      <c r="I86" s="6" t="s">
        <v>86</v>
      </c>
      <c r="J86" s="6" t="s">
        <v>87</v>
      </c>
      <c r="K86" s="6" t="s">
        <v>88</v>
      </c>
    </row>
    <row r="87" spans="1:11" s="14" customFormat="1" ht="28" x14ac:dyDescent="0.3">
      <c r="A87" s="27" t="str">
        <f>IF(F87="00","General"&amp;INDEX(问题代码结构!$B$12:$B$20,MATCH($E87,问题代码结构!$C$12:$C$20,0)),D87&amp;F87)</f>
        <v>0024</v>
      </c>
      <c r="B87" s="27" t="str">
        <f t="shared" si="1"/>
        <v>个人-晚餐</v>
      </c>
      <c r="C87" s="6" t="s">
        <v>231</v>
      </c>
      <c r="D87" s="6" t="s">
        <v>294</v>
      </c>
      <c r="E87" s="6" t="s">
        <v>9</v>
      </c>
      <c r="F87" s="6" t="s">
        <v>318</v>
      </c>
      <c r="G87" s="6" t="s">
        <v>227</v>
      </c>
      <c r="H87" s="6" t="s">
        <v>299</v>
      </c>
      <c r="I87" s="6" t="s">
        <v>209</v>
      </c>
      <c r="J87" s="6" t="s">
        <v>210</v>
      </c>
      <c r="K87" s="6" t="s">
        <v>28</v>
      </c>
    </row>
    <row r="88" spans="1:11" s="14" customFormat="1" ht="28" x14ac:dyDescent="0.3">
      <c r="A88" s="27" t="str">
        <f>IF(F88="00","General"&amp;INDEX(问题代码结构!$B$12:$B$20,MATCH($E88,问题代码结构!$C$12:$C$20,0)),D88&amp;F88)</f>
        <v>0024</v>
      </c>
      <c r="B88" s="27" t="str">
        <f t="shared" si="1"/>
        <v>个人-晚餐</v>
      </c>
      <c r="C88" s="6" t="s">
        <v>232</v>
      </c>
      <c r="D88" s="6" t="s">
        <v>294</v>
      </c>
      <c r="E88" s="6" t="s">
        <v>9</v>
      </c>
      <c r="F88" s="6" t="s">
        <v>318</v>
      </c>
      <c r="G88" s="6" t="s">
        <v>227</v>
      </c>
      <c r="H88" s="6" t="s">
        <v>300</v>
      </c>
      <c r="I88" s="6" t="s">
        <v>212</v>
      </c>
      <c r="J88" s="6" t="s">
        <v>213</v>
      </c>
      <c r="K88" s="6" t="s">
        <v>28</v>
      </c>
    </row>
    <row r="89" spans="1:11" s="14" customFormat="1" x14ac:dyDescent="0.3">
      <c r="A89" s="27" t="str">
        <f>IF(F89="00","General"&amp;INDEX(问题代码结构!$B$12:$B$20,MATCH($E89,问题代码结构!$C$12:$C$20,0)),D89&amp;F89)</f>
        <v>0024</v>
      </c>
      <c r="B89" s="27" t="str">
        <f t="shared" si="1"/>
        <v>个人-晚餐</v>
      </c>
      <c r="C89" s="6" t="s">
        <v>233</v>
      </c>
      <c r="D89" s="6" t="s">
        <v>294</v>
      </c>
      <c r="E89" s="6" t="s">
        <v>9</v>
      </c>
      <c r="F89" s="6" t="s">
        <v>318</v>
      </c>
      <c r="G89" s="6" t="s">
        <v>227</v>
      </c>
      <c r="H89" s="6" t="s">
        <v>301</v>
      </c>
      <c r="I89" s="6" t="s">
        <v>215</v>
      </c>
      <c r="J89" s="6" t="s">
        <v>216</v>
      </c>
      <c r="K89" s="6" t="s">
        <v>217</v>
      </c>
    </row>
    <row r="90" spans="1:11" s="14" customFormat="1" x14ac:dyDescent="0.3">
      <c r="A90" s="27" t="str">
        <f>IF(F90="00","General"&amp;INDEX(问题代码结构!$B$12:$B$20,MATCH($E90,问题代码结构!$C$12:$C$20,0)),D90&amp;F90)</f>
        <v>0025</v>
      </c>
      <c r="B90" s="27" t="str">
        <f t="shared" si="1"/>
        <v>个人-夜宵</v>
      </c>
      <c r="C90" s="6" t="s">
        <v>234</v>
      </c>
      <c r="D90" s="6" t="s">
        <v>294</v>
      </c>
      <c r="E90" s="6" t="s">
        <v>9</v>
      </c>
      <c r="F90" s="6" t="s">
        <v>319</v>
      </c>
      <c r="G90" s="6" t="s">
        <v>235</v>
      </c>
      <c r="H90" s="6" t="s">
        <v>295</v>
      </c>
      <c r="I90" s="6" t="s">
        <v>168</v>
      </c>
      <c r="J90" s="6" t="s">
        <v>169</v>
      </c>
      <c r="K90" s="6" t="s">
        <v>58</v>
      </c>
    </row>
    <row r="91" spans="1:11" s="14" customFormat="1" x14ac:dyDescent="0.3">
      <c r="A91" s="27" t="str">
        <f>IF(F91="00","General"&amp;INDEX(问题代码结构!$B$12:$B$20,MATCH($E91,问题代码结构!$C$12:$C$20,0)),D91&amp;F91)</f>
        <v>0025</v>
      </c>
      <c r="B91" s="27" t="str">
        <f t="shared" si="1"/>
        <v>个人-夜宵</v>
      </c>
      <c r="C91" s="6" t="s">
        <v>236</v>
      </c>
      <c r="D91" s="6" t="s">
        <v>294</v>
      </c>
      <c r="E91" s="6" t="s">
        <v>9</v>
      </c>
      <c r="F91" s="6" t="s">
        <v>319</v>
      </c>
      <c r="G91" s="6" t="s">
        <v>235</v>
      </c>
      <c r="H91" s="6" t="s">
        <v>296</v>
      </c>
      <c r="I91" s="6" t="s">
        <v>173</v>
      </c>
      <c r="J91" s="6" t="s">
        <v>61</v>
      </c>
      <c r="K91" s="6" t="s">
        <v>28</v>
      </c>
    </row>
    <row r="92" spans="1:11" s="14" customFormat="1" x14ac:dyDescent="0.3">
      <c r="A92" s="27" t="str">
        <f>IF(F92="00","General"&amp;INDEX(问题代码结构!$B$12:$B$20,MATCH($E92,问题代码结构!$C$12:$C$20,0)),D92&amp;F92)</f>
        <v>0025</v>
      </c>
      <c r="B92" s="27" t="str">
        <f t="shared" si="1"/>
        <v>个人-夜宵</v>
      </c>
      <c r="C92" s="6" t="s">
        <v>237</v>
      </c>
      <c r="D92" s="6" t="s">
        <v>294</v>
      </c>
      <c r="E92" s="6" t="s">
        <v>9</v>
      </c>
      <c r="F92" s="6" t="s">
        <v>319</v>
      </c>
      <c r="G92" s="6" t="s">
        <v>235</v>
      </c>
      <c r="H92" s="6" t="s">
        <v>297</v>
      </c>
      <c r="I92" s="6" t="s">
        <v>83</v>
      </c>
      <c r="J92" s="6" t="s">
        <v>84</v>
      </c>
      <c r="K92" s="6" t="s">
        <v>28</v>
      </c>
    </row>
    <row r="93" spans="1:11" s="14" customFormat="1" x14ac:dyDescent="0.3">
      <c r="A93" s="27" t="str">
        <f>IF(F93="00","General"&amp;INDEX(问题代码结构!$B$12:$B$20,MATCH($E93,问题代码结构!$C$12:$C$20,0)),D93&amp;F93)</f>
        <v>0025</v>
      </c>
      <c r="B93" s="27" t="str">
        <f t="shared" si="1"/>
        <v>个人-夜宵</v>
      </c>
      <c r="C93" s="6" t="s">
        <v>238</v>
      </c>
      <c r="D93" s="6" t="s">
        <v>294</v>
      </c>
      <c r="E93" s="6" t="s">
        <v>9</v>
      </c>
      <c r="F93" s="6" t="s">
        <v>319</v>
      </c>
      <c r="G93" s="6" t="s">
        <v>235</v>
      </c>
      <c r="H93" s="6" t="s">
        <v>298</v>
      </c>
      <c r="I93" s="6" t="s">
        <v>86</v>
      </c>
      <c r="J93" s="6" t="s">
        <v>87</v>
      </c>
      <c r="K93" s="6" t="s">
        <v>88</v>
      </c>
    </row>
    <row r="94" spans="1:11" s="14" customFormat="1" ht="28" x14ac:dyDescent="0.3">
      <c r="A94" s="27" t="str">
        <f>IF(F94="00","General"&amp;INDEX(问题代码结构!$B$12:$B$20,MATCH($E94,问题代码结构!$C$12:$C$20,0)),D94&amp;F94)</f>
        <v>0025</v>
      </c>
      <c r="B94" s="27" t="str">
        <f t="shared" si="1"/>
        <v>个人-夜宵</v>
      </c>
      <c r="C94" s="6" t="s">
        <v>239</v>
      </c>
      <c r="D94" s="6" t="s">
        <v>294</v>
      </c>
      <c r="E94" s="6" t="s">
        <v>9</v>
      </c>
      <c r="F94" s="6" t="s">
        <v>319</v>
      </c>
      <c r="G94" s="6" t="s">
        <v>235</v>
      </c>
      <c r="H94" s="6" t="s">
        <v>299</v>
      </c>
      <c r="I94" s="6" t="s">
        <v>209</v>
      </c>
      <c r="J94" s="6" t="s">
        <v>210</v>
      </c>
      <c r="K94" s="6" t="s">
        <v>28</v>
      </c>
    </row>
    <row r="95" spans="1:11" s="14" customFormat="1" ht="28" x14ac:dyDescent="0.3">
      <c r="A95" s="27" t="str">
        <f>IF(F95="00","General"&amp;INDEX(问题代码结构!$B$12:$B$20,MATCH($E95,问题代码结构!$C$12:$C$20,0)),D95&amp;F95)</f>
        <v>0025</v>
      </c>
      <c r="B95" s="27" t="str">
        <f t="shared" si="1"/>
        <v>个人-夜宵</v>
      </c>
      <c r="C95" s="6" t="s">
        <v>240</v>
      </c>
      <c r="D95" s="6" t="s">
        <v>294</v>
      </c>
      <c r="E95" s="6" t="s">
        <v>9</v>
      </c>
      <c r="F95" s="6" t="s">
        <v>319</v>
      </c>
      <c r="G95" s="6" t="s">
        <v>235</v>
      </c>
      <c r="H95" s="6" t="s">
        <v>300</v>
      </c>
      <c r="I95" s="6" t="s">
        <v>212</v>
      </c>
      <c r="J95" s="6" t="s">
        <v>213</v>
      </c>
      <c r="K95" s="6" t="s">
        <v>28</v>
      </c>
    </row>
    <row r="96" spans="1:11" s="14" customFormat="1" x14ac:dyDescent="0.3">
      <c r="A96" s="27" t="str">
        <f>IF(F96="00","General"&amp;INDEX(问题代码结构!$B$12:$B$20,MATCH($E96,问题代码结构!$C$12:$C$20,0)),D96&amp;F96)</f>
        <v>0025</v>
      </c>
      <c r="B96" s="27" t="str">
        <f t="shared" si="1"/>
        <v>个人-夜宵</v>
      </c>
      <c r="C96" s="6" t="s">
        <v>241</v>
      </c>
      <c r="D96" s="6" t="s">
        <v>294</v>
      </c>
      <c r="E96" s="6" t="s">
        <v>9</v>
      </c>
      <c r="F96" s="6" t="s">
        <v>319</v>
      </c>
      <c r="G96" s="6" t="s">
        <v>235</v>
      </c>
      <c r="H96" s="6" t="s">
        <v>301</v>
      </c>
      <c r="I96" s="6" t="s">
        <v>215</v>
      </c>
      <c r="J96" s="6" t="s">
        <v>216</v>
      </c>
      <c r="K96" s="6" t="s">
        <v>217</v>
      </c>
    </row>
    <row r="97" spans="1:11" s="14" customFormat="1" x14ac:dyDescent="0.3">
      <c r="A97" s="27" t="str">
        <f>IF(F97="00","General"&amp;INDEX(问题代码结构!$B$12:$B$20,MATCH($E97,问题代码结构!$C$12:$C$20,0)),D97&amp;F97)</f>
        <v>0026</v>
      </c>
      <c r="B97" s="27" t="str">
        <f t="shared" si="1"/>
        <v>个人-下午茶</v>
      </c>
      <c r="C97" s="6" t="s">
        <v>242</v>
      </c>
      <c r="D97" s="6" t="s">
        <v>294</v>
      </c>
      <c r="E97" s="6" t="s">
        <v>9</v>
      </c>
      <c r="F97" s="6" t="s">
        <v>320</v>
      </c>
      <c r="G97" s="6" t="s">
        <v>243</v>
      </c>
      <c r="H97" s="6" t="s">
        <v>295</v>
      </c>
      <c r="I97" s="6" t="s">
        <v>168</v>
      </c>
      <c r="J97" s="6" t="s">
        <v>169</v>
      </c>
      <c r="K97" s="6" t="s">
        <v>58</v>
      </c>
    </row>
    <row r="98" spans="1:11" s="14" customFormat="1" x14ac:dyDescent="0.3">
      <c r="A98" s="27" t="str">
        <f>IF(F98="00","General"&amp;INDEX(问题代码结构!$B$12:$B$20,MATCH($E98,问题代码结构!$C$12:$C$20,0)),D98&amp;F98)</f>
        <v>0026</v>
      </c>
      <c r="B98" s="27" t="str">
        <f t="shared" si="1"/>
        <v>个人-下午茶</v>
      </c>
      <c r="C98" s="6" t="s">
        <v>244</v>
      </c>
      <c r="D98" s="6" t="s">
        <v>294</v>
      </c>
      <c r="E98" s="6" t="s">
        <v>9</v>
      </c>
      <c r="F98" s="6" t="s">
        <v>320</v>
      </c>
      <c r="G98" s="6" t="s">
        <v>243</v>
      </c>
      <c r="H98" s="6" t="s">
        <v>296</v>
      </c>
      <c r="I98" s="6" t="s">
        <v>173</v>
      </c>
      <c r="J98" s="6" t="s">
        <v>61</v>
      </c>
      <c r="K98" s="6" t="s">
        <v>28</v>
      </c>
    </row>
    <row r="99" spans="1:11" s="14" customFormat="1" x14ac:dyDescent="0.3">
      <c r="A99" s="27" t="str">
        <f>IF(F99="00","General"&amp;INDEX(问题代码结构!$B$12:$B$20,MATCH($E99,问题代码结构!$C$12:$C$20,0)),D99&amp;F99)</f>
        <v>0026</v>
      </c>
      <c r="B99" s="27" t="str">
        <f t="shared" si="1"/>
        <v>个人-下午茶</v>
      </c>
      <c r="C99" s="6" t="s">
        <v>245</v>
      </c>
      <c r="D99" s="6" t="s">
        <v>294</v>
      </c>
      <c r="E99" s="6" t="s">
        <v>9</v>
      </c>
      <c r="F99" s="6" t="s">
        <v>320</v>
      </c>
      <c r="G99" s="6" t="s">
        <v>243</v>
      </c>
      <c r="H99" s="6" t="s">
        <v>297</v>
      </c>
      <c r="I99" s="6" t="s">
        <v>83</v>
      </c>
      <c r="J99" s="6" t="s">
        <v>84</v>
      </c>
      <c r="K99" s="6" t="s">
        <v>28</v>
      </c>
    </row>
    <row r="100" spans="1:11" s="14" customFormat="1" x14ac:dyDescent="0.3">
      <c r="A100" s="27" t="str">
        <f>IF(F100="00","General"&amp;INDEX(问题代码结构!$B$12:$B$20,MATCH($E100,问题代码结构!$C$12:$C$20,0)),D100&amp;F100)</f>
        <v>0026</v>
      </c>
      <c r="B100" s="27" t="str">
        <f t="shared" si="1"/>
        <v>个人-下午茶</v>
      </c>
      <c r="C100" s="6" t="s">
        <v>246</v>
      </c>
      <c r="D100" s="6" t="s">
        <v>294</v>
      </c>
      <c r="E100" s="6" t="s">
        <v>9</v>
      </c>
      <c r="F100" s="6" t="s">
        <v>320</v>
      </c>
      <c r="G100" s="6" t="s">
        <v>243</v>
      </c>
      <c r="H100" s="6" t="s">
        <v>298</v>
      </c>
      <c r="I100" s="6" t="s">
        <v>86</v>
      </c>
      <c r="J100" s="6" t="s">
        <v>87</v>
      </c>
      <c r="K100" s="6" t="s">
        <v>88</v>
      </c>
    </row>
    <row r="101" spans="1:11" s="14" customFormat="1" ht="28" x14ac:dyDescent="0.3">
      <c r="A101" s="27" t="str">
        <f>IF(F101="00","General"&amp;INDEX(问题代码结构!$B$12:$B$20,MATCH($E101,问题代码结构!$C$12:$C$20,0)),D101&amp;F101)</f>
        <v>0026</v>
      </c>
      <c r="B101" s="27" t="str">
        <f t="shared" si="1"/>
        <v>个人-下午茶</v>
      </c>
      <c r="C101" s="6" t="s">
        <v>247</v>
      </c>
      <c r="D101" s="6" t="s">
        <v>294</v>
      </c>
      <c r="E101" s="6" t="s">
        <v>9</v>
      </c>
      <c r="F101" s="6" t="s">
        <v>320</v>
      </c>
      <c r="G101" s="6" t="s">
        <v>243</v>
      </c>
      <c r="H101" s="6" t="s">
        <v>299</v>
      </c>
      <c r="I101" s="6" t="s">
        <v>209</v>
      </c>
      <c r="J101" s="6" t="s">
        <v>210</v>
      </c>
      <c r="K101" s="6" t="s">
        <v>28</v>
      </c>
    </row>
    <row r="102" spans="1:11" s="14" customFormat="1" ht="28" x14ac:dyDescent="0.3">
      <c r="A102" s="27" t="str">
        <f>IF(F102="00","General"&amp;INDEX(问题代码结构!$B$12:$B$20,MATCH($E102,问题代码结构!$C$12:$C$20,0)),D102&amp;F102)</f>
        <v>0026</v>
      </c>
      <c r="B102" s="27" t="str">
        <f t="shared" si="1"/>
        <v>个人-下午茶</v>
      </c>
      <c r="C102" s="6" t="s">
        <v>248</v>
      </c>
      <c r="D102" s="6" t="s">
        <v>294</v>
      </c>
      <c r="E102" s="6" t="s">
        <v>9</v>
      </c>
      <c r="F102" s="6" t="s">
        <v>320</v>
      </c>
      <c r="G102" s="6" t="s">
        <v>243</v>
      </c>
      <c r="H102" s="6" t="s">
        <v>300</v>
      </c>
      <c r="I102" s="6" t="s">
        <v>212</v>
      </c>
      <c r="J102" s="6" t="s">
        <v>213</v>
      </c>
      <c r="K102" s="6" t="s">
        <v>28</v>
      </c>
    </row>
    <row r="103" spans="1:11" s="14" customFormat="1" x14ac:dyDescent="0.3">
      <c r="A103" s="27" t="str">
        <f>IF(F103="00","General"&amp;INDEX(问题代码结构!$B$12:$B$20,MATCH($E103,问题代码结构!$C$12:$C$20,0)),D103&amp;F103)</f>
        <v>0026</v>
      </c>
      <c r="B103" s="27" t="str">
        <f t="shared" si="1"/>
        <v>个人-下午茶</v>
      </c>
      <c r="C103" s="6" t="s">
        <v>249</v>
      </c>
      <c r="D103" s="6" t="s">
        <v>294</v>
      </c>
      <c r="E103" s="6" t="s">
        <v>9</v>
      </c>
      <c r="F103" s="6" t="s">
        <v>320</v>
      </c>
      <c r="G103" s="6" t="s">
        <v>243</v>
      </c>
      <c r="H103" s="6" t="s">
        <v>301</v>
      </c>
      <c r="I103" s="6" t="s">
        <v>215</v>
      </c>
      <c r="J103" s="6" t="s">
        <v>216</v>
      </c>
      <c r="K103" s="6" t="s">
        <v>217</v>
      </c>
    </row>
    <row r="104" spans="1:11" s="14" customFormat="1" x14ac:dyDescent="0.3">
      <c r="A104" s="27" t="str">
        <f>IF(F104="00","General"&amp;INDEX(问题代码结构!$B$12:$B$20,MATCH($E104,问题代码结构!$C$12:$C$20,0)),D104&amp;F104)</f>
        <v>0027</v>
      </c>
      <c r="B104" s="27" t="str">
        <f t="shared" si="1"/>
        <v>个人-业务招待-礼品</v>
      </c>
      <c r="C104" s="6" t="s">
        <v>250</v>
      </c>
      <c r="D104" s="6" t="s">
        <v>294</v>
      </c>
      <c r="E104" s="6" t="s">
        <v>9</v>
      </c>
      <c r="F104" s="6" t="s">
        <v>321</v>
      </c>
      <c r="G104" s="6" t="s">
        <v>251</v>
      </c>
      <c r="H104" s="6" t="s">
        <v>295</v>
      </c>
      <c r="I104" s="6" t="s">
        <v>168</v>
      </c>
      <c r="J104" s="6" t="s">
        <v>169</v>
      </c>
      <c r="K104" s="6" t="s">
        <v>58</v>
      </c>
    </row>
    <row r="105" spans="1:11" s="14" customFormat="1" x14ac:dyDescent="0.3">
      <c r="A105" s="27" t="str">
        <f>IF(F105="00","General"&amp;INDEX(问题代码结构!$B$12:$B$20,MATCH($E105,问题代码结构!$C$12:$C$20,0)),D105&amp;F105)</f>
        <v>0027</v>
      </c>
      <c r="B105" s="27" t="str">
        <f t="shared" si="1"/>
        <v>个人-业务招待-礼品</v>
      </c>
      <c r="C105" s="6" t="s">
        <v>252</v>
      </c>
      <c r="D105" s="6" t="s">
        <v>294</v>
      </c>
      <c r="E105" s="6" t="s">
        <v>9</v>
      </c>
      <c r="F105" s="6" t="s">
        <v>321</v>
      </c>
      <c r="G105" s="6" t="s">
        <v>251</v>
      </c>
      <c r="H105" s="6" t="s">
        <v>296</v>
      </c>
      <c r="I105" s="6" t="s">
        <v>83</v>
      </c>
      <c r="J105" s="6" t="s">
        <v>84</v>
      </c>
      <c r="K105" s="6" t="s">
        <v>28</v>
      </c>
    </row>
    <row r="106" spans="1:11" s="14" customFormat="1" x14ac:dyDescent="0.3">
      <c r="A106" s="27" t="str">
        <f>IF(F106="00","General"&amp;INDEX(问题代码结构!$B$12:$B$20,MATCH($E106,问题代码结构!$C$12:$C$20,0)),D106&amp;F106)</f>
        <v>0027</v>
      </c>
      <c r="B106" s="27" t="str">
        <f t="shared" si="1"/>
        <v>个人-业务招待-礼品</v>
      </c>
      <c r="C106" s="6" t="s">
        <v>253</v>
      </c>
      <c r="D106" s="6" t="s">
        <v>294</v>
      </c>
      <c r="E106" s="6" t="s">
        <v>9</v>
      </c>
      <c r="F106" s="6" t="s">
        <v>321</v>
      </c>
      <c r="G106" s="6" t="s">
        <v>251</v>
      </c>
      <c r="H106" s="6" t="s">
        <v>297</v>
      </c>
      <c r="I106" s="6" t="s">
        <v>86</v>
      </c>
      <c r="J106" s="6" t="s">
        <v>87</v>
      </c>
      <c r="K106" s="6" t="s">
        <v>88</v>
      </c>
    </row>
    <row r="107" spans="1:11" s="14" customFormat="1" x14ac:dyDescent="0.3">
      <c r="A107" s="27" t="str">
        <f>IF(F107="00","General"&amp;INDEX(问题代码结构!$B$12:$B$20,MATCH($E107,问题代码结构!$C$12:$C$20,0)),D107&amp;F107)</f>
        <v>0027</v>
      </c>
      <c r="B107" s="27" t="str">
        <f t="shared" si="1"/>
        <v>个人-业务招待-礼品</v>
      </c>
      <c r="C107" s="6" t="s">
        <v>254</v>
      </c>
      <c r="D107" s="6" t="s">
        <v>294</v>
      </c>
      <c r="E107" s="6" t="s">
        <v>9</v>
      </c>
      <c r="F107" s="6" t="s">
        <v>321</v>
      </c>
      <c r="G107" s="6" t="s">
        <v>251</v>
      </c>
      <c r="H107" s="6" t="s">
        <v>298</v>
      </c>
      <c r="I107" s="6" t="s">
        <v>194</v>
      </c>
      <c r="J107" s="6" t="s">
        <v>195</v>
      </c>
      <c r="K107" s="6" t="s">
        <v>28</v>
      </c>
    </row>
    <row r="108" spans="1:11" s="14" customFormat="1" x14ac:dyDescent="0.3">
      <c r="A108" s="27" t="str">
        <f>IF(F108="00","General"&amp;INDEX(问题代码结构!$B$12:$B$20,MATCH($E108,问题代码结构!$C$12:$C$20,0)),D108&amp;F108)</f>
        <v>0027</v>
      </c>
      <c r="B108" s="27" t="str">
        <f t="shared" si="1"/>
        <v>个人-业务招待-礼品</v>
      </c>
      <c r="C108" s="6" t="s">
        <v>255</v>
      </c>
      <c r="D108" s="6" t="s">
        <v>294</v>
      </c>
      <c r="E108" s="6" t="s">
        <v>9</v>
      </c>
      <c r="F108" s="6" t="s">
        <v>321</v>
      </c>
      <c r="G108" s="6" t="s">
        <v>251</v>
      </c>
      <c r="H108" s="6" t="s">
        <v>299</v>
      </c>
      <c r="I108" s="6" t="s">
        <v>197</v>
      </c>
      <c r="J108" s="6" t="s">
        <v>198</v>
      </c>
      <c r="K108" s="6" t="s">
        <v>28</v>
      </c>
    </row>
    <row r="109" spans="1:11" s="14" customFormat="1" x14ac:dyDescent="0.3">
      <c r="A109" s="27" t="str">
        <f>IF(F109="00","General"&amp;INDEX(问题代码结构!$B$12:$B$20,MATCH($E109,问题代码结构!$C$12:$C$20,0)),D109&amp;F109)</f>
        <v>0027</v>
      </c>
      <c r="B109" s="27" t="str">
        <f t="shared" si="1"/>
        <v>个人-业务招待-礼品</v>
      </c>
      <c r="C109" s="6" t="s">
        <v>256</v>
      </c>
      <c r="D109" s="6" t="s">
        <v>294</v>
      </c>
      <c r="E109" s="6" t="s">
        <v>9</v>
      </c>
      <c r="F109" s="6" t="s">
        <v>321</v>
      </c>
      <c r="G109" s="6" t="s">
        <v>251</v>
      </c>
      <c r="H109" s="6" t="s">
        <v>300</v>
      </c>
      <c r="I109" s="6" t="s">
        <v>257</v>
      </c>
      <c r="J109" s="6" t="s">
        <v>258</v>
      </c>
      <c r="K109" s="6" t="s">
        <v>28</v>
      </c>
    </row>
    <row r="110" spans="1:11" s="14" customFormat="1" x14ac:dyDescent="0.3">
      <c r="A110" s="27" t="str">
        <f>IF(F110="00","General"&amp;INDEX(问题代码结构!$B$12:$B$20,MATCH($E110,问题代码结构!$C$12:$C$20,0)),D110&amp;F110)</f>
        <v>0028</v>
      </c>
      <c r="B110" s="27" t="str">
        <f t="shared" si="1"/>
        <v>个人-员工工作手机购机款</v>
      </c>
      <c r="C110" s="6" t="s">
        <v>259</v>
      </c>
      <c r="D110" s="6" t="s">
        <v>294</v>
      </c>
      <c r="E110" s="6" t="s">
        <v>9</v>
      </c>
      <c r="F110" s="6" t="s">
        <v>322</v>
      </c>
      <c r="G110" s="6" t="s">
        <v>260</v>
      </c>
      <c r="H110" s="6" t="s">
        <v>295</v>
      </c>
      <c r="I110" s="6" t="s">
        <v>261</v>
      </c>
      <c r="J110" s="6" t="s">
        <v>262</v>
      </c>
      <c r="K110" s="6" t="s">
        <v>159</v>
      </c>
    </row>
    <row r="111" spans="1:11" s="14" customFormat="1" x14ac:dyDescent="0.3">
      <c r="A111" s="27" t="str">
        <f>IF(F111="00","General"&amp;INDEX(问题代码结构!$B$12:$B$20,MATCH($E111,问题代码结构!$C$12:$C$20,0)),D111&amp;F111)</f>
        <v>0028</v>
      </c>
      <c r="B111" s="27" t="str">
        <f t="shared" si="1"/>
        <v>个人-员工工作手机购机款</v>
      </c>
      <c r="C111" s="6" t="s">
        <v>263</v>
      </c>
      <c r="D111" s="6" t="s">
        <v>294</v>
      </c>
      <c r="E111" s="6" t="s">
        <v>9</v>
      </c>
      <c r="F111" s="6" t="s">
        <v>322</v>
      </c>
      <c r="G111" s="6" t="s">
        <v>260</v>
      </c>
      <c r="H111" s="6" t="s">
        <v>296</v>
      </c>
      <c r="I111" s="6" t="s">
        <v>83</v>
      </c>
      <c r="J111" s="6" t="s">
        <v>84</v>
      </c>
      <c r="K111" s="6" t="s">
        <v>28</v>
      </c>
    </row>
    <row r="112" spans="1:11" s="14" customFormat="1" x14ac:dyDescent="0.3">
      <c r="A112" s="27" t="str">
        <f>IF(F112="00","General"&amp;INDEX(问题代码结构!$B$12:$B$20,MATCH($E112,问题代码结构!$C$12:$C$20,0)),D112&amp;F112)</f>
        <v>0028</v>
      </c>
      <c r="B112" s="27" t="str">
        <f t="shared" si="1"/>
        <v>个人-员工工作手机购机款</v>
      </c>
      <c r="C112" s="6" t="s">
        <v>264</v>
      </c>
      <c r="D112" s="6" t="s">
        <v>294</v>
      </c>
      <c r="E112" s="6" t="s">
        <v>9</v>
      </c>
      <c r="F112" s="6" t="s">
        <v>322</v>
      </c>
      <c r="G112" s="6" t="s">
        <v>260</v>
      </c>
      <c r="H112" s="6" t="s">
        <v>297</v>
      </c>
      <c r="I112" s="6" t="s">
        <v>86</v>
      </c>
      <c r="J112" s="6" t="s">
        <v>87</v>
      </c>
      <c r="K112" s="6" t="s">
        <v>88</v>
      </c>
    </row>
    <row r="113" spans="1:11" s="14" customFormat="1" x14ac:dyDescent="0.3">
      <c r="A113" s="27" t="str">
        <f>IF(F113="00","General"&amp;INDEX(问题代码结构!$B$12:$B$20,MATCH($E113,问题代码结构!$C$12:$C$20,0)),D113&amp;F113)</f>
        <v>0028</v>
      </c>
      <c r="B113" s="27" t="str">
        <f t="shared" si="1"/>
        <v>个人-员工工作手机购机款</v>
      </c>
      <c r="C113" s="6" t="s">
        <v>265</v>
      </c>
      <c r="D113" s="6" t="s">
        <v>294</v>
      </c>
      <c r="E113" s="6" t="s">
        <v>9</v>
      </c>
      <c r="F113" s="6" t="s">
        <v>322</v>
      </c>
      <c r="G113" s="6" t="s">
        <v>260</v>
      </c>
      <c r="H113" s="6" t="s">
        <v>298</v>
      </c>
      <c r="I113" s="6" t="s">
        <v>266</v>
      </c>
      <c r="J113" s="6" t="s">
        <v>267</v>
      </c>
      <c r="K113" s="6" t="s">
        <v>28</v>
      </c>
    </row>
    <row r="114" spans="1:11" s="14" customFormat="1" x14ac:dyDescent="0.3">
      <c r="A114" s="27" t="str">
        <f>IF(F114="00","General"&amp;INDEX(问题代码结构!$B$12:$B$20,MATCH($E114,问题代码结构!$C$12:$C$20,0)),D114&amp;F114)</f>
        <v>0028</v>
      </c>
      <c r="B114" s="27" t="str">
        <f t="shared" si="1"/>
        <v>个人-员工工作手机购机款</v>
      </c>
      <c r="C114" s="6" t="s">
        <v>268</v>
      </c>
      <c r="D114" s="6" t="s">
        <v>294</v>
      </c>
      <c r="E114" s="6" t="s">
        <v>9</v>
      </c>
      <c r="F114" s="6" t="s">
        <v>322</v>
      </c>
      <c r="G114" s="6" t="s">
        <v>260</v>
      </c>
      <c r="H114" s="6" t="s">
        <v>299</v>
      </c>
      <c r="I114" s="6" t="s">
        <v>269</v>
      </c>
      <c r="J114" s="6" t="s">
        <v>270</v>
      </c>
      <c r="K114" s="6" t="s">
        <v>217</v>
      </c>
    </row>
    <row r="115" spans="1:11" s="14" customFormat="1" x14ac:dyDescent="0.3">
      <c r="A115" s="27" t="str">
        <f>IF(F115="00","General"&amp;INDEX(问题代码结构!$B$12:$B$20,MATCH($E115,问题代码结构!$C$12:$C$20,0)),D115&amp;F115)</f>
        <v>0029</v>
      </c>
      <c r="B115" s="27" t="str">
        <f t="shared" si="1"/>
        <v>个人-小型医学沟通会餐费</v>
      </c>
      <c r="C115" s="6" t="s">
        <v>271</v>
      </c>
      <c r="D115" s="6" t="s">
        <v>294</v>
      </c>
      <c r="E115" s="6" t="s">
        <v>9</v>
      </c>
      <c r="F115" s="6" t="s">
        <v>323</v>
      </c>
      <c r="G115" s="6" t="s">
        <v>272</v>
      </c>
      <c r="H115" s="6" t="s">
        <v>295</v>
      </c>
      <c r="I115" s="6" t="s">
        <v>168</v>
      </c>
      <c r="J115" s="6" t="s">
        <v>169</v>
      </c>
      <c r="K115" s="6" t="s">
        <v>28</v>
      </c>
    </row>
    <row r="116" spans="1:11" s="14" customFormat="1" x14ac:dyDescent="0.3">
      <c r="A116" s="27" t="str">
        <f>IF(F116="00","General"&amp;INDEX(问题代码结构!$B$12:$B$20,MATCH($E116,问题代码结构!$C$12:$C$20,0)),D116&amp;F116)</f>
        <v>0029</v>
      </c>
      <c r="B116" s="27" t="str">
        <f t="shared" si="1"/>
        <v>个人-小型医学沟通会餐费</v>
      </c>
      <c r="C116" s="6" t="s">
        <v>273</v>
      </c>
      <c r="D116" s="6" t="s">
        <v>294</v>
      </c>
      <c r="E116" s="6" t="s">
        <v>9</v>
      </c>
      <c r="F116" s="6" t="s">
        <v>323</v>
      </c>
      <c r="G116" s="6" t="s">
        <v>272</v>
      </c>
      <c r="H116" s="6" t="s">
        <v>296</v>
      </c>
      <c r="I116" s="6" t="s">
        <v>83</v>
      </c>
      <c r="J116" s="6" t="s">
        <v>84</v>
      </c>
      <c r="K116" s="6" t="s">
        <v>28</v>
      </c>
    </row>
    <row r="117" spans="1:11" s="14" customFormat="1" x14ac:dyDescent="0.3">
      <c r="A117" s="27" t="str">
        <f>IF(F117="00","General"&amp;INDEX(问题代码结构!$B$12:$B$20,MATCH($E117,问题代码结构!$C$12:$C$20,0)),D117&amp;F117)</f>
        <v>0029</v>
      </c>
      <c r="B117" s="27" t="str">
        <f t="shared" si="1"/>
        <v>个人-小型医学沟通会餐费</v>
      </c>
      <c r="C117" s="6" t="s">
        <v>274</v>
      </c>
      <c r="D117" s="6" t="s">
        <v>294</v>
      </c>
      <c r="E117" s="6" t="s">
        <v>9</v>
      </c>
      <c r="F117" s="6" t="s">
        <v>323</v>
      </c>
      <c r="G117" s="6" t="s">
        <v>272</v>
      </c>
      <c r="H117" s="6" t="s">
        <v>297</v>
      </c>
      <c r="I117" s="6" t="s">
        <v>86</v>
      </c>
      <c r="J117" s="6" t="s">
        <v>87</v>
      </c>
      <c r="K117" s="6" t="s">
        <v>88</v>
      </c>
    </row>
    <row r="118" spans="1:11" s="14" customFormat="1" x14ac:dyDescent="0.3">
      <c r="A118" s="27" t="str">
        <f>IF(F118="00","General"&amp;INDEX(问题代码结构!$B$12:$B$20,MATCH($E118,问题代码结构!$C$12:$C$20,0)),D118&amp;F118)</f>
        <v>0029</v>
      </c>
      <c r="B118" s="27" t="str">
        <f t="shared" si="1"/>
        <v>个人-小型医学沟通会餐费</v>
      </c>
      <c r="C118" s="6" t="s">
        <v>275</v>
      </c>
      <c r="D118" s="6" t="s">
        <v>294</v>
      </c>
      <c r="E118" s="6" t="s">
        <v>9</v>
      </c>
      <c r="F118" s="6" t="s">
        <v>323</v>
      </c>
      <c r="G118" s="6" t="s">
        <v>272</v>
      </c>
      <c r="H118" s="6" t="s">
        <v>298</v>
      </c>
      <c r="I118" s="6" t="s">
        <v>179</v>
      </c>
      <c r="J118" s="6" t="s">
        <v>276</v>
      </c>
      <c r="K118" s="6" t="s">
        <v>28</v>
      </c>
    </row>
    <row r="119" spans="1:11" s="14" customFormat="1" x14ac:dyDescent="0.3">
      <c r="A119" s="27" t="str">
        <f>IF(F119="00","General"&amp;INDEX(问题代码结构!$B$12:$B$20,MATCH($E119,问题代码结构!$C$12:$C$20,0)),D119&amp;F119)</f>
        <v>0029</v>
      </c>
      <c r="B119" s="27" t="str">
        <f t="shared" si="1"/>
        <v>个人-小型医学沟通会餐费</v>
      </c>
      <c r="C119" s="6" t="s">
        <v>277</v>
      </c>
      <c r="D119" s="6" t="s">
        <v>294</v>
      </c>
      <c r="E119" s="6" t="s">
        <v>9</v>
      </c>
      <c r="F119" s="6" t="s">
        <v>323</v>
      </c>
      <c r="G119" s="6" t="s">
        <v>272</v>
      </c>
      <c r="H119" s="6" t="s">
        <v>299</v>
      </c>
      <c r="I119" s="6" t="s">
        <v>278</v>
      </c>
      <c r="J119" s="6" t="s">
        <v>279</v>
      </c>
      <c r="K119" s="6" t="s">
        <v>280</v>
      </c>
    </row>
    <row r="120" spans="1:11" s="14" customFormat="1" x14ac:dyDescent="0.3">
      <c r="A120" s="27" t="str">
        <f>IF(F120="00","General"&amp;INDEX(问题代码结构!$B$12:$B$20,MATCH($E120,问题代码结构!$C$12:$C$20,0)),D120&amp;F120)</f>
        <v>0029</v>
      </c>
      <c r="B120" s="27" t="str">
        <f t="shared" si="1"/>
        <v>个人-小型医学沟通会餐费</v>
      </c>
      <c r="C120" s="6" t="s">
        <v>281</v>
      </c>
      <c r="D120" s="6" t="s">
        <v>294</v>
      </c>
      <c r="E120" s="6" t="s">
        <v>9</v>
      </c>
      <c r="F120" s="6" t="s">
        <v>323</v>
      </c>
      <c r="G120" s="6" t="s">
        <v>272</v>
      </c>
      <c r="H120" s="6" t="s">
        <v>300</v>
      </c>
      <c r="I120" s="6" t="s">
        <v>282</v>
      </c>
      <c r="J120" s="6" t="s">
        <v>283</v>
      </c>
      <c r="K120" s="6" t="s">
        <v>187</v>
      </c>
    </row>
    <row r="121" spans="1:11" s="14" customFormat="1" x14ac:dyDescent="0.3">
      <c r="A121" s="27" t="str">
        <f>IF(F121="00","General"&amp;INDEX(问题代码结构!$B$12:$B$20,MATCH($E121,问题代码结构!$C$12:$C$20,0)),D121&amp;F121)</f>
        <v>0029</v>
      </c>
      <c r="B121" s="27" t="str">
        <f t="shared" si="1"/>
        <v>个人-小型医学沟通会餐费</v>
      </c>
      <c r="C121" s="6" t="s">
        <v>284</v>
      </c>
      <c r="D121" s="6" t="s">
        <v>294</v>
      </c>
      <c r="E121" s="6" t="s">
        <v>9</v>
      </c>
      <c r="F121" s="6" t="s">
        <v>323</v>
      </c>
      <c r="G121" s="6" t="s">
        <v>272</v>
      </c>
      <c r="H121" s="6" t="s">
        <v>301</v>
      </c>
      <c r="I121" s="6" t="s">
        <v>285</v>
      </c>
      <c r="J121" s="6" t="s">
        <v>286</v>
      </c>
      <c r="K121" s="6" t="s">
        <v>28</v>
      </c>
    </row>
    <row r="122" spans="1:11" s="14" customFormat="1" x14ac:dyDescent="0.3">
      <c r="A122" s="27" t="str">
        <f>IF(F122="00","General"&amp;INDEX(问题代码结构!$B$12:$B$20,MATCH($E122,问题代码结构!$C$12:$C$20,0)),D122&amp;F122)</f>
        <v>0029</v>
      </c>
      <c r="B122" s="27" t="str">
        <f t="shared" si="1"/>
        <v>个人-小型医学沟通会餐费</v>
      </c>
      <c r="C122" s="6" t="s">
        <v>287</v>
      </c>
      <c r="D122" s="6" t="s">
        <v>294</v>
      </c>
      <c r="E122" s="6" t="s">
        <v>9</v>
      </c>
      <c r="F122" s="6" t="s">
        <v>323</v>
      </c>
      <c r="G122" s="6" t="s">
        <v>272</v>
      </c>
      <c r="H122" s="6" t="s">
        <v>302</v>
      </c>
      <c r="I122" s="6" t="s">
        <v>288</v>
      </c>
      <c r="J122" s="6" t="s">
        <v>289</v>
      </c>
      <c r="K122" s="6" t="s">
        <v>290</v>
      </c>
    </row>
    <row r="123" spans="1:11" s="14" customFormat="1" x14ac:dyDescent="0.3">
      <c r="A123" s="27" t="str">
        <f>IF(F123="00","General"&amp;INDEX(问题代码结构!$B$12:$B$20,MATCH($E123,问题代码结构!$C$12:$C$20,0)),D123&amp;F123)</f>
        <v>0030</v>
      </c>
      <c r="B123" s="27" t="str">
        <f t="shared" si="1"/>
        <v>个人-培训费</v>
      </c>
      <c r="C123" s="6" t="s">
        <v>291</v>
      </c>
      <c r="D123" s="6" t="s">
        <v>294</v>
      </c>
      <c r="E123" s="6" t="s">
        <v>9</v>
      </c>
      <c r="F123" s="6" t="s">
        <v>324</v>
      </c>
      <c r="G123" s="6" t="s">
        <v>292</v>
      </c>
      <c r="H123" s="6" t="s">
        <v>295</v>
      </c>
      <c r="I123" s="6" t="s">
        <v>83</v>
      </c>
      <c r="J123" s="6" t="s">
        <v>84</v>
      </c>
      <c r="K123" s="6" t="s">
        <v>28</v>
      </c>
    </row>
    <row r="124" spans="1:11" s="14" customFormat="1" x14ac:dyDescent="0.3">
      <c r="A124" s="27" t="str">
        <f>IF(F124="00","General"&amp;INDEX(问题代码结构!$B$12:$B$20,MATCH($E124,问题代码结构!$C$12:$C$20,0)),D124&amp;F124)</f>
        <v>0030</v>
      </c>
      <c r="B124" s="27" t="str">
        <f t="shared" si="1"/>
        <v>个人-培训费</v>
      </c>
      <c r="C124" s="6" t="s">
        <v>293</v>
      </c>
      <c r="D124" s="6" t="s">
        <v>294</v>
      </c>
      <c r="E124" s="6" t="s">
        <v>9</v>
      </c>
      <c r="F124" s="6" t="s">
        <v>324</v>
      </c>
      <c r="G124" s="6" t="s">
        <v>292</v>
      </c>
      <c r="H124" s="6" t="s">
        <v>296</v>
      </c>
      <c r="I124" s="6" t="s">
        <v>86</v>
      </c>
      <c r="J124" s="6" t="s">
        <v>87</v>
      </c>
      <c r="K124" s="6" t="s">
        <v>88</v>
      </c>
    </row>
    <row r="125" spans="1:11" x14ac:dyDescent="0.3">
      <c r="A125" s="27" t="str">
        <f>IF(F125="00","General"&amp;INDEX(问题代码结构!$B$12:$B$20,MATCH($E125,问题代码结构!$C$12:$C$20,0)),D125&amp;F125)</f>
        <v>General00</v>
      </c>
      <c r="B125" s="27" t="str">
        <f t="shared" si="1"/>
        <v>个人-通用</v>
      </c>
      <c r="C125" s="6" t="s">
        <v>711</v>
      </c>
      <c r="D125" s="6" t="s">
        <v>294</v>
      </c>
      <c r="E125" s="6" t="s">
        <v>9</v>
      </c>
      <c r="F125" s="13" t="s">
        <v>294</v>
      </c>
      <c r="G125" s="13" t="s">
        <v>569</v>
      </c>
      <c r="H125" s="6" t="s">
        <v>295</v>
      </c>
      <c r="I125" s="13" t="s">
        <v>702</v>
      </c>
      <c r="J125" s="13" t="s">
        <v>703</v>
      </c>
      <c r="K125" s="13" t="s">
        <v>704</v>
      </c>
    </row>
    <row r="126" spans="1:11" x14ac:dyDescent="0.3">
      <c r="A126" s="27" t="str">
        <f>IF(F126="00","General"&amp;INDEX(问题代码结构!$B$12:$B$20,MATCH($E126,问题代码结构!$C$12:$C$20,0)),D126&amp;F126)</f>
        <v>General00</v>
      </c>
      <c r="B126" s="27" t="str">
        <f t="shared" si="1"/>
        <v>个人-通用</v>
      </c>
      <c r="C126" s="6" t="s">
        <v>712</v>
      </c>
      <c r="D126" s="6" t="s">
        <v>294</v>
      </c>
      <c r="E126" s="6" t="s">
        <v>9</v>
      </c>
      <c r="F126" s="13" t="s">
        <v>294</v>
      </c>
      <c r="G126" s="13" t="s">
        <v>569</v>
      </c>
      <c r="H126" s="6" t="s">
        <v>296</v>
      </c>
      <c r="I126" s="13" t="s">
        <v>705</v>
      </c>
      <c r="J126" s="13" t="s">
        <v>706</v>
      </c>
      <c r="K126" s="13" t="s">
        <v>707</v>
      </c>
    </row>
    <row r="127" spans="1:11" x14ac:dyDescent="0.3">
      <c r="A127" s="27" t="str">
        <f>IF(F127="00","General"&amp;INDEX(问题代码结构!$B$12:$B$20,MATCH($E127,问题代码结构!$C$12:$C$20,0)),D127&amp;F127)</f>
        <v>General00</v>
      </c>
      <c r="B127" s="27" t="str">
        <f t="shared" si="1"/>
        <v>个人-通用</v>
      </c>
      <c r="C127" s="6" t="s">
        <v>713</v>
      </c>
      <c r="D127" s="6" t="s">
        <v>294</v>
      </c>
      <c r="E127" s="6" t="s">
        <v>9</v>
      </c>
      <c r="F127" s="13" t="s">
        <v>294</v>
      </c>
      <c r="G127" s="13" t="s">
        <v>569</v>
      </c>
      <c r="H127" s="6" t="s">
        <v>297</v>
      </c>
      <c r="I127" s="13" t="s">
        <v>708</v>
      </c>
      <c r="J127" s="13" t="s">
        <v>709</v>
      </c>
      <c r="K127" s="13" t="s">
        <v>710</v>
      </c>
    </row>
  </sheetData>
  <autoFilter ref="C1:K124" xr:uid="{00000000-0001-0000-0000-000000000000}"/>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F181-E6BC-458E-A708-9185E1C34935}">
  <dimension ref="A1:K329"/>
  <sheetViews>
    <sheetView workbookViewId="0">
      <selection activeCell="D16" sqref="D16"/>
    </sheetView>
  </sheetViews>
  <sheetFormatPr defaultColWidth="9" defaultRowHeight="14" x14ac:dyDescent="0.3"/>
  <cols>
    <col min="1" max="1" width="10.6640625" style="21" bestFit="1" customWidth="1"/>
    <col min="2" max="2" width="13.5" style="21" customWidth="1"/>
    <col min="3" max="3" width="10.5" style="13" bestFit="1" customWidth="1"/>
    <col min="4" max="4" width="8.58203125" style="13" bestFit="1" customWidth="1"/>
    <col min="5" max="5" width="15.08203125" style="13" bestFit="1" customWidth="1"/>
    <col min="6" max="6" width="8.5" style="13" bestFit="1" customWidth="1"/>
    <col min="7" max="7" width="17.25" style="13" bestFit="1" customWidth="1"/>
    <col min="8" max="8" width="5.83203125" style="13" bestFit="1" customWidth="1"/>
    <col min="9" max="9" width="27.58203125" style="13" customWidth="1"/>
    <col min="10" max="10" width="52.83203125" style="13" bestFit="1" customWidth="1"/>
    <col min="11" max="11" width="46.33203125" style="13" bestFit="1" customWidth="1"/>
    <col min="12" max="16384" width="9" style="13"/>
  </cols>
  <sheetData>
    <row r="1" spans="1:11" ht="28" x14ac:dyDescent="0.3">
      <c r="A1" s="23" t="s">
        <v>777</v>
      </c>
      <c r="B1" s="23" t="s">
        <v>779</v>
      </c>
      <c r="C1" s="1" t="s">
        <v>684</v>
      </c>
      <c r="D1" s="2" t="s">
        <v>446</v>
      </c>
      <c r="E1" s="1" t="s">
        <v>447</v>
      </c>
      <c r="F1" s="2" t="s">
        <v>448</v>
      </c>
      <c r="G1" s="1" t="s">
        <v>449</v>
      </c>
      <c r="H1" s="2" t="s">
        <v>469</v>
      </c>
      <c r="I1" s="1" t="s">
        <v>470</v>
      </c>
      <c r="J1" s="3" t="s">
        <v>471</v>
      </c>
      <c r="K1" s="3" t="s">
        <v>472</v>
      </c>
    </row>
    <row r="2" spans="1:11" ht="28" x14ac:dyDescent="0.3">
      <c r="A2" s="27" t="str">
        <f>IF(F2="00","General"&amp;INDEX(问题代码结构!$B$12:$B$20,MATCH($E2,问题代码结构!$C$12:$C$20,0)),D2&amp;F2)</f>
        <v>0101</v>
      </c>
      <c r="B2" s="24" t="str">
        <f>E2&amp;"-"&amp;G2</f>
        <v>学术论坛-会议讲课费</v>
      </c>
      <c r="C2" s="8" t="str">
        <f>"MN"&amp;D2&amp;F2&amp;H2</f>
        <v>MN010101</v>
      </c>
      <c r="D2" s="9" t="s">
        <v>295</v>
      </c>
      <c r="E2" s="8" t="s">
        <v>430</v>
      </c>
      <c r="F2" s="9" t="s">
        <v>295</v>
      </c>
      <c r="G2" s="8" t="s">
        <v>431</v>
      </c>
      <c r="H2" s="9" t="s">
        <v>295</v>
      </c>
      <c r="I2" s="10" t="s">
        <v>360</v>
      </c>
      <c r="J2" s="8" t="s">
        <v>361</v>
      </c>
      <c r="K2" s="8" t="s">
        <v>362</v>
      </c>
    </row>
    <row r="3" spans="1:11" ht="28" x14ac:dyDescent="0.3">
      <c r="A3" s="27" t="str">
        <f>IF(F3="00","General"&amp;INDEX(问题代码结构!$B$12:$B$20,MATCH($E3,问题代码结构!$C$12:$C$20,0)),D3&amp;F3)</f>
        <v>0101</v>
      </c>
      <c r="B3" s="24" t="str">
        <f t="shared" ref="B3:B66" si="0">E3&amp;"-"&amp;G3</f>
        <v>学术论坛-会议讲课费</v>
      </c>
      <c r="C3" s="8" t="str">
        <f t="shared" ref="C3:C66" si="1">"MN"&amp;D3&amp;F3&amp;H3</f>
        <v>MN010102</v>
      </c>
      <c r="D3" s="9" t="s">
        <v>295</v>
      </c>
      <c r="E3" s="8" t="s">
        <v>430</v>
      </c>
      <c r="F3" s="9" t="s">
        <v>295</v>
      </c>
      <c r="G3" s="8" t="s">
        <v>431</v>
      </c>
      <c r="H3" s="9" t="s">
        <v>296</v>
      </c>
      <c r="I3" s="11" t="s">
        <v>363</v>
      </c>
      <c r="J3" s="5" t="s">
        <v>364</v>
      </c>
      <c r="K3" s="5" t="s">
        <v>328</v>
      </c>
    </row>
    <row r="4" spans="1:11" ht="28" x14ac:dyDescent="0.3">
      <c r="A4" s="27" t="str">
        <f>IF(F4="00","General"&amp;INDEX(问题代码结构!$B$12:$B$20,MATCH($E4,问题代码结构!$C$12:$C$20,0)),D4&amp;F4)</f>
        <v>0101</v>
      </c>
      <c r="B4" s="24" t="str">
        <f t="shared" si="0"/>
        <v>学术论坛-会议讲课费</v>
      </c>
      <c r="C4" s="8" t="str">
        <f t="shared" si="1"/>
        <v>MN010103</v>
      </c>
      <c r="D4" s="9" t="s">
        <v>295</v>
      </c>
      <c r="E4" s="8" t="s">
        <v>430</v>
      </c>
      <c r="F4" s="9" t="s">
        <v>295</v>
      </c>
      <c r="G4" s="8" t="s">
        <v>431</v>
      </c>
      <c r="H4" s="9" t="s">
        <v>297</v>
      </c>
      <c r="I4" s="10" t="s">
        <v>365</v>
      </c>
      <c r="J4" s="8" t="s">
        <v>366</v>
      </c>
      <c r="K4" s="8" t="s">
        <v>367</v>
      </c>
    </row>
    <row r="5" spans="1:11" ht="28" x14ac:dyDescent="0.3">
      <c r="A5" s="27" t="str">
        <f>IF(F5="00","General"&amp;INDEX(问题代码结构!$B$12:$B$20,MATCH($E5,问题代码结构!$C$12:$C$20,0)),D5&amp;F5)</f>
        <v>0101</v>
      </c>
      <c r="B5" s="24" t="str">
        <f t="shared" si="0"/>
        <v>学术论坛-会议讲课费</v>
      </c>
      <c r="C5" s="8" t="str">
        <f t="shared" si="1"/>
        <v>MN010104</v>
      </c>
      <c r="D5" s="9" t="s">
        <v>295</v>
      </c>
      <c r="E5" s="8" t="s">
        <v>430</v>
      </c>
      <c r="F5" s="9" t="s">
        <v>295</v>
      </c>
      <c r="G5" s="8" t="s">
        <v>431</v>
      </c>
      <c r="H5" s="9" t="s">
        <v>298</v>
      </c>
      <c r="I5" s="10" t="s">
        <v>368</v>
      </c>
      <c r="J5" s="8" t="s">
        <v>369</v>
      </c>
      <c r="K5" s="8" t="s">
        <v>367</v>
      </c>
    </row>
    <row r="6" spans="1:11" ht="28" x14ac:dyDescent="0.3">
      <c r="A6" s="27" t="str">
        <f>IF(F6="00","General"&amp;INDEX(问题代码结构!$B$12:$B$20,MATCH($E6,问题代码结构!$C$12:$C$20,0)),D6&amp;F6)</f>
        <v>0101</v>
      </c>
      <c r="B6" s="24" t="str">
        <f t="shared" si="0"/>
        <v>学术论坛-会议讲课费</v>
      </c>
      <c r="C6" s="8" t="str">
        <f t="shared" si="1"/>
        <v>MN010105</v>
      </c>
      <c r="D6" s="9" t="s">
        <v>295</v>
      </c>
      <c r="E6" s="8" t="s">
        <v>430</v>
      </c>
      <c r="F6" s="9" t="s">
        <v>295</v>
      </c>
      <c r="G6" s="8" t="s">
        <v>431</v>
      </c>
      <c r="H6" s="9" t="s">
        <v>299</v>
      </c>
      <c r="I6" s="8" t="s">
        <v>370</v>
      </c>
      <c r="J6" s="8" t="s">
        <v>371</v>
      </c>
      <c r="K6" s="8" t="s">
        <v>372</v>
      </c>
    </row>
    <row r="7" spans="1:11" ht="28" x14ac:dyDescent="0.3">
      <c r="A7" s="27" t="str">
        <f>IF(F7="00","General"&amp;INDEX(问题代码结构!$B$12:$B$20,MATCH($E7,问题代码结构!$C$12:$C$20,0)),D7&amp;F7)</f>
        <v>0101</v>
      </c>
      <c r="B7" s="24" t="str">
        <f t="shared" si="0"/>
        <v>学术论坛-会议讲课费</v>
      </c>
      <c r="C7" s="8" t="str">
        <f t="shared" si="1"/>
        <v>MN010106</v>
      </c>
      <c r="D7" s="9" t="s">
        <v>295</v>
      </c>
      <c r="E7" s="8" t="s">
        <v>430</v>
      </c>
      <c r="F7" s="9" t="s">
        <v>295</v>
      </c>
      <c r="G7" s="8" t="s">
        <v>431</v>
      </c>
      <c r="H7" s="12" t="s">
        <v>300</v>
      </c>
      <c r="I7" s="10" t="s">
        <v>373</v>
      </c>
      <c r="J7" s="8" t="s">
        <v>374</v>
      </c>
      <c r="K7" s="8" t="s">
        <v>362</v>
      </c>
    </row>
    <row r="8" spans="1:11" ht="28" x14ac:dyDescent="0.3">
      <c r="A8" s="27" t="str">
        <f>IF(F8="00","General"&amp;INDEX(问题代码结构!$B$12:$B$20,MATCH($E8,问题代码结构!$C$12:$C$20,0)),D8&amp;F8)</f>
        <v>0101</v>
      </c>
      <c r="B8" s="24" t="str">
        <f>E8&amp;"-"&amp;G8</f>
        <v>学术论坛-会议讲课费</v>
      </c>
      <c r="C8" s="8" t="str">
        <f t="shared" si="1"/>
        <v>MN010107</v>
      </c>
      <c r="D8" s="9" t="s">
        <v>295</v>
      </c>
      <c r="E8" s="8" t="s">
        <v>430</v>
      </c>
      <c r="F8" s="9" t="s">
        <v>295</v>
      </c>
      <c r="G8" s="8" t="s">
        <v>431</v>
      </c>
      <c r="H8" s="12" t="s">
        <v>301</v>
      </c>
      <c r="I8" s="10" t="s">
        <v>375</v>
      </c>
      <c r="J8" s="8" t="s">
        <v>376</v>
      </c>
      <c r="K8" s="8" t="s">
        <v>362</v>
      </c>
    </row>
    <row r="9" spans="1:11" ht="28" x14ac:dyDescent="0.3">
      <c r="A9" s="27" t="str">
        <f>IF(F9="00","General"&amp;INDEX(问题代码结构!$B$12:$B$20,MATCH($E9,问题代码结构!$C$12:$C$20,0)),D9&amp;F9)</f>
        <v>0101</v>
      </c>
      <c r="B9" s="24" t="str">
        <f t="shared" si="0"/>
        <v>学术论坛-会议讲课费</v>
      </c>
      <c r="C9" s="8" t="str">
        <f t="shared" si="1"/>
        <v>MN010108</v>
      </c>
      <c r="D9" s="9" t="s">
        <v>295</v>
      </c>
      <c r="E9" s="8" t="s">
        <v>430</v>
      </c>
      <c r="F9" s="9" t="s">
        <v>295</v>
      </c>
      <c r="G9" s="8" t="s">
        <v>431</v>
      </c>
      <c r="H9" s="12" t="s">
        <v>302</v>
      </c>
      <c r="I9" s="10" t="s">
        <v>377</v>
      </c>
      <c r="J9" s="8" t="s">
        <v>378</v>
      </c>
      <c r="K9" s="8" t="s">
        <v>379</v>
      </c>
    </row>
    <row r="10" spans="1:11" ht="28" x14ac:dyDescent="0.3">
      <c r="A10" s="27" t="str">
        <f>IF(F10="00","General"&amp;INDEX(问题代码结构!$B$12:$B$20,MATCH($E10,问题代码结构!$C$12:$C$20,0)),D10&amp;F10)</f>
        <v>0101</v>
      </c>
      <c r="B10" s="24" t="str">
        <f t="shared" si="0"/>
        <v>学术论坛-会议讲课费</v>
      </c>
      <c r="C10" s="8" t="str">
        <f t="shared" si="1"/>
        <v>MN010109</v>
      </c>
      <c r="D10" s="9" t="s">
        <v>295</v>
      </c>
      <c r="E10" s="8" t="s">
        <v>430</v>
      </c>
      <c r="F10" s="9" t="s">
        <v>295</v>
      </c>
      <c r="G10" s="8" t="s">
        <v>431</v>
      </c>
      <c r="H10" s="12" t="s">
        <v>303</v>
      </c>
      <c r="I10" s="11" t="s">
        <v>380</v>
      </c>
      <c r="J10" s="5" t="s">
        <v>381</v>
      </c>
      <c r="K10" s="5" t="s">
        <v>362</v>
      </c>
    </row>
    <row r="11" spans="1:11" ht="42" x14ac:dyDescent="0.3">
      <c r="A11" s="27" t="str">
        <f>IF(F11="00","General"&amp;INDEX(问题代码结构!$B$12:$B$20,MATCH($E11,问题代码结构!$C$12:$C$20,0)),D11&amp;F11)</f>
        <v>General01</v>
      </c>
      <c r="B11" s="24" t="str">
        <f t="shared" si="0"/>
        <v>学术论坛-通用</v>
      </c>
      <c r="C11" s="8" t="str">
        <f t="shared" si="1"/>
        <v>MN010001</v>
      </c>
      <c r="D11" s="9" t="s">
        <v>295</v>
      </c>
      <c r="E11" s="8" t="s">
        <v>430</v>
      </c>
      <c r="F11" s="25" t="s">
        <v>568</v>
      </c>
      <c r="G11" s="26" t="s">
        <v>570</v>
      </c>
      <c r="H11" s="12" t="s">
        <v>686</v>
      </c>
      <c r="I11" s="8" t="s">
        <v>473</v>
      </c>
      <c r="J11" s="8" t="s">
        <v>325</v>
      </c>
      <c r="K11" s="8" t="s">
        <v>326</v>
      </c>
    </row>
    <row r="12" spans="1:11" ht="28" x14ac:dyDescent="0.3">
      <c r="A12" s="27" t="str">
        <f>IF(F12="00","General"&amp;INDEX(问题代码结构!$B$12:$B$20,MATCH($E12,问题代码结构!$C$12:$C$20,0)),D12&amp;F12)</f>
        <v>General01</v>
      </c>
      <c r="B12" s="24" t="str">
        <f t="shared" si="0"/>
        <v>学术论坛-通用</v>
      </c>
      <c r="C12" s="8" t="str">
        <f t="shared" si="1"/>
        <v>MN010002</v>
      </c>
      <c r="D12" s="9" t="s">
        <v>295</v>
      </c>
      <c r="E12" s="8" t="s">
        <v>430</v>
      </c>
      <c r="F12" s="25" t="s">
        <v>568</v>
      </c>
      <c r="G12" s="26" t="s">
        <v>570</v>
      </c>
      <c r="H12" s="12" t="s">
        <v>685</v>
      </c>
      <c r="I12" s="8" t="s">
        <v>474</v>
      </c>
      <c r="J12" s="8" t="s">
        <v>327</v>
      </c>
      <c r="K12" s="8" t="s">
        <v>328</v>
      </c>
    </row>
    <row r="13" spans="1:11" x14ac:dyDescent="0.3">
      <c r="A13" s="27" t="str">
        <f>IF(F13="00","General"&amp;INDEX(问题代码结构!$B$12:$B$20,MATCH($E13,问题代码结构!$C$12:$C$20,0)),D13&amp;F13)</f>
        <v>General01</v>
      </c>
      <c r="B13" s="24" t="str">
        <f t="shared" si="0"/>
        <v>学术论坛-通用</v>
      </c>
      <c r="C13" s="8" t="str">
        <f t="shared" si="1"/>
        <v>MN010003</v>
      </c>
      <c r="D13" s="9" t="s">
        <v>295</v>
      </c>
      <c r="E13" s="8" t="s">
        <v>430</v>
      </c>
      <c r="F13" s="25" t="s">
        <v>568</v>
      </c>
      <c r="G13" s="26" t="s">
        <v>570</v>
      </c>
      <c r="H13" s="12" t="s">
        <v>297</v>
      </c>
      <c r="I13" s="10" t="s">
        <v>475</v>
      </c>
      <c r="J13" s="8" t="s">
        <v>329</v>
      </c>
      <c r="K13" s="8" t="s">
        <v>330</v>
      </c>
    </row>
    <row r="14" spans="1:11" ht="28" x14ac:dyDescent="0.3">
      <c r="A14" s="27" t="str">
        <f>IF(F14="00","General"&amp;INDEX(问题代码结构!$B$12:$B$20,MATCH($E14,问题代码结构!$C$12:$C$20,0)),D14&amp;F14)</f>
        <v>General01</v>
      </c>
      <c r="B14" s="24" t="str">
        <f t="shared" si="0"/>
        <v>学术论坛-通用</v>
      </c>
      <c r="C14" s="8" t="str">
        <f t="shared" si="1"/>
        <v>MN010004</v>
      </c>
      <c r="D14" s="9" t="s">
        <v>295</v>
      </c>
      <c r="E14" s="8" t="s">
        <v>430</v>
      </c>
      <c r="F14" s="25" t="s">
        <v>568</v>
      </c>
      <c r="G14" s="26" t="s">
        <v>570</v>
      </c>
      <c r="H14" s="12" t="s">
        <v>298</v>
      </c>
      <c r="I14" s="10" t="s">
        <v>476</v>
      </c>
      <c r="J14" s="8" t="s">
        <v>331</v>
      </c>
      <c r="K14" s="8" t="s">
        <v>332</v>
      </c>
    </row>
    <row r="15" spans="1:11" x14ac:dyDescent="0.3">
      <c r="A15" s="27" t="str">
        <f>IF(F15="00","General"&amp;INDEX(问题代码结构!$B$12:$B$20,MATCH($E15,问题代码结构!$C$12:$C$20,0)),D15&amp;F15)</f>
        <v>General01</v>
      </c>
      <c r="B15" s="24" t="str">
        <f t="shared" si="0"/>
        <v>学术论坛-通用</v>
      </c>
      <c r="C15" s="8" t="str">
        <f t="shared" si="1"/>
        <v>MN010005</v>
      </c>
      <c r="D15" s="9" t="s">
        <v>295</v>
      </c>
      <c r="E15" s="8" t="s">
        <v>430</v>
      </c>
      <c r="F15" s="25" t="s">
        <v>568</v>
      </c>
      <c r="G15" s="26" t="s">
        <v>570</v>
      </c>
      <c r="H15" s="12" t="s">
        <v>299</v>
      </c>
      <c r="I15" s="10" t="s">
        <v>477</v>
      </c>
      <c r="J15" s="8" t="s">
        <v>333</v>
      </c>
      <c r="K15" s="8" t="s">
        <v>334</v>
      </c>
    </row>
    <row r="16" spans="1:11" ht="28" x14ac:dyDescent="0.3">
      <c r="A16" s="27" t="str">
        <f>IF(F16="00","General"&amp;INDEX(问题代码结构!$B$12:$B$20,MATCH($E16,问题代码结构!$C$12:$C$20,0)),D16&amp;F16)</f>
        <v>General01</v>
      </c>
      <c r="B16" s="24" t="str">
        <f t="shared" si="0"/>
        <v>学术论坛-通用</v>
      </c>
      <c r="C16" s="8" t="str">
        <f t="shared" si="1"/>
        <v>MN010006</v>
      </c>
      <c r="D16" s="9" t="s">
        <v>295</v>
      </c>
      <c r="E16" s="8" t="s">
        <v>430</v>
      </c>
      <c r="F16" s="25" t="s">
        <v>568</v>
      </c>
      <c r="G16" s="26" t="s">
        <v>570</v>
      </c>
      <c r="H16" s="12" t="s">
        <v>300</v>
      </c>
      <c r="I16" s="10" t="s">
        <v>478</v>
      </c>
      <c r="J16" s="8" t="s">
        <v>335</v>
      </c>
      <c r="K16" s="8" t="s">
        <v>328</v>
      </c>
    </row>
    <row r="17" spans="1:11" ht="28" x14ac:dyDescent="0.3">
      <c r="A17" s="27" t="str">
        <f>IF(F17="00","General"&amp;INDEX(问题代码结构!$B$12:$B$20,MATCH($E17,问题代码结构!$C$12:$C$20,0)),D17&amp;F17)</f>
        <v>General01</v>
      </c>
      <c r="B17" s="24" t="str">
        <f t="shared" si="0"/>
        <v>学术论坛-通用</v>
      </c>
      <c r="C17" s="8" t="str">
        <f t="shared" si="1"/>
        <v>MN010007</v>
      </c>
      <c r="D17" s="9" t="s">
        <v>295</v>
      </c>
      <c r="E17" s="8" t="s">
        <v>430</v>
      </c>
      <c r="F17" s="25" t="s">
        <v>568</v>
      </c>
      <c r="G17" s="26" t="s">
        <v>570</v>
      </c>
      <c r="H17" s="12" t="s">
        <v>301</v>
      </c>
      <c r="I17" s="10" t="s">
        <v>479</v>
      </c>
      <c r="J17" s="8" t="s">
        <v>336</v>
      </c>
      <c r="K17" s="8" t="s">
        <v>337</v>
      </c>
    </row>
    <row r="18" spans="1:11" ht="42" x14ac:dyDescent="0.3">
      <c r="A18" s="27" t="str">
        <f>IF(F18="00","General"&amp;INDEX(问题代码结构!$B$12:$B$20,MATCH($E18,问题代码结构!$C$12:$C$20,0)),D18&amp;F18)</f>
        <v>General01</v>
      </c>
      <c r="B18" s="24" t="str">
        <f t="shared" si="0"/>
        <v>学术论坛-通用</v>
      </c>
      <c r="C18" s="8" t="str">
        <f t="shared" si="1"/>
        <v>MN010008</v>
      </c>
      <c r="D18" s="9" t="s">
        <v>295</v>
      </c>
      <c r="E18" s="8" t="s">
        <v>430</v>
      </c>
      <c r="F18" s="25" t="s">
        <v>568</v>
      </c>
      <c r="G18" s="26" t="s">
        <v>570</v>
      </c>
      <c r="H18" s="12" t="s">
        <v>302</v>
      </c>
      <c r="I18" s="10" t="s">
        <v>480</v>
      </c>
      <c r="J18" s="8" t="s">
        <v>338</v>
      </c>
      <c r="K18" s="8" t="s">
        <v>337</v>
      </c>
    </row>
    <row r="19" spans="1:11" x14ac:dyDescent="0.3">
      <c r="A19" s="27" t="str">
        <f>IF(F19="00","General"&amp;INDEX(问题代码结构!$B$12:$B$20,MATCH($E19,问题代码结构!$C$12:$C$20,0)),D19&amp;F19)</f>
        <v>General01</v>
      </c>
      <c r="B19" s="24" t="str">
        <f t="shared" si="0"/>
        <v>学术论坛-通用</v>
      </c>
      <c r="C19" s="8" t="str">
        <f t="shared" si="1"/>
        <v>MN010009</v>
      </c>
      <c r="D19" s="9" t="s">
        <v>295</v>
      </c>
      <c r="E19" s="8" t="s">
        <v>430</v>
      </c>
      <c r="F19" s="25" t="s">
        <v>568</v>
      </c>
      <c r="G19" s="26" t="s">
        <v>570</v>
      </c>
      <c r="H19" s="12" t="s">
        <v>303</v>
      </c>
      <c r="I19" s="10" t="s">
        <v>481</v>
      </c>
      <c r="J19" s="8" t="s">
        <v>339</v>
      </c>
      <c r="K19" s="8" t="s">
        <v>340</v>
      </c>
    </row>
    <row r="20" spans="1:11" ht="28" x14ac:dyDescent="0.3">
      <c r="A20" s="27" t="str">
        <f>IF(F20="00","General"&amp;INDEX(问题代码结构!$B$12:$B$20,MATCH($E20,问题代码结构!$C$12:$C$20,0)),D20&amp;F20)</f>
        <v>General01</v>
      </c>
      <c r="B20" s="24" t="str">
        <f t="shared" si="0"/>
        <v>学术论坛-通用</v>
      </c>
      <c r="C20" s="8" t="str">
        <f t="shared" si="1"/>
        <v>MN010010</v>
      </c>
      <c r="D20" s="9" t="s">
        <v>295</v>
      </c>
      <c r="E20" s="8" t="s">
        <v>430</v>
      </c>
      <c r="F20" s="25" t="s">
        <v>568</v>
      </c>
      <c r="G20" s="26" t="s">
        <v>570</v>
      </c>
      <c r="H20" s="12" t="s">
        <v>304</v>
      </c>
      <c r="I20" s="10" t="s">
        <v>482</v>
      </c>
      <c r="J20" s="8" t="s">
        <v>341</v>
      </c>
      <c r="K20" s="8" t="s">
        <v>328</v>
      </c>
    </row>
    <row r="21" spans="1:11" x14ac:dyDescent="0.3">
      <c r="A21" s="27" t="str">
        <f>IF(F21="00","General"&amp;INDEX(问题代码结构!$B$12:$B$20,MATCH($E21,问题代码结构!$C$12:$C$20,0)),D21&amp;F21)</f>
        <v>General01</v>
      </c>
      <c r="B21" s="24" t="str">
        <f t="shared" si="0"/>
        <v>学术论坛-通用</v>
      </c>
      <c r="C21" s="8" t="str">
        <f t="shared" si="1"/>
        <v>MN010011</v>
      </c>
      <c r="D21" s="9" t="s">
        <v>295</v>
      </c>
      <c r="E21" s="8" t="s">
        <v>430</v>
      </c>
      <c r="F21" s="25" t="s">
        <v>568</v>
      </c>
      <c r="G21" s="26" t="s">
        <v>570</v>
      </c>
      <c r="H21" s="12" t="s">
        <v>305</v>
      </c>
      <c r="I21" s="10" t="s">
        <v>483</v>
      </c>
      <c r="J21" s="8" t="s">
        <v>342</v>
      </c>
      <c r="K21" s="8" t="s">
        <v>343</v>
      </c>
    </row>
    <row r="22" spans="1:11" ht="42" x14ac:dyDescent="0.3">
      <c r="A22" s="27" t="str">
        <f>IF(F22="00","General"&amp;INDEX(问题代码结构!$B$12:$B$20,MATCH($E22,问题代码结构!$C$12:$C$20,0)),D22&amp;F22)</f>
        <v>General01</v>
      </c>
      <c r="B22" s="24" t="str">
        <f t="shared" si="0"/>
        <v>学术论坛-通用</v>
      </c>
      <c r="C22" s="8" t="str">
        <f t="shared" si="1"/>
        <v>MN010012</v>
      </c>
      <c r="D22" s="9" t="s">
        <v>295</v>
      </c>
      <c r="E22" s="8" t="s">
        <v>430</v>
      </c>
      <c r="F22" s="25" t="s">
        <v>568</v>
      </c>
      <c r="G22" s="26" t="s">
        <v>570</v>
      </c>
      <c r="H22" s="12" t="s">
        <v>306</v>
      </c>
      <c r="I22" s="10" t="s">
        <v>484</v>
      </c>
      <c r="J22" s="8" t="s">
        <v>344</v>
      </c>
      <c r="K22" s="8" t="s">
        <v>345</v>
      </c>
    </row>
    <row r="23" spans="1:11" ht="28" x14ac:dyDescent="0.3">
      <c r="A23" s="27" t="str">
        <f>IF(F23="00","General"&amp;INDEX(问题代码结构!$B$12:$B$20,MATCH($E23,问题代码结构!$C$12:$C$20,0)),D23&amp;F23)</f>
        <v>General01</v>
      </c>
      <c r="B23" s="24" t="str">
        <f t="shared" si="0"/>
        <v>学术论坛-通用</v>
      </c>
      <c r="C23" s="8" t="str">
        <f t="shared" si="1"/>
        <v>MN010013</v>
      </c>
      <c r="D23" s="9" t="s">
        <v>295</v>
      </c>
      <c r="E23" s="8" t="s">
        <v>430</v>
      </c>
      <c r="F23" s="25" t="s">
        <v>568</v>
      </c>
      <c r="G23" s="26" t="s">
        <v>570</v>
      </c>
      <c r="H23" s="12" t="s">
        <v>307</v>
      </c>
      <c r="I23" s="8" t="s">
        <v>485</v>
      </c>
      <c r="J23" s="8" t="s">
        <v>346</v>
      </c>
      <c r="K23" s="8" t="s">
        <v>347</v>
      </c>
    </row>
    <row r="24" spans="1:11" ht="28" x14ac:dyDescent="0.3">
      <c r="A24" s="27" t="str">
        <f>IF(F24="00","General"&amp;INDEX(问题代码结构!$B$12:$B$20,MATCH($E24,问题代码结构!$C$12:$C$20,0)),D24&amp;F24)</f>
        <v>General01</v>
      </c>
      <c r="B24" s="24" t="str">
        <f t="shared" si="0"/>
        <v>学术论坛-通用</v>
      </c>
      <c r="C24" s="8" t="str">
        <f t="shared" si="1"/>
        <v>MN010014</v>
      </c>
      <c r="D24" s="9" t="s">
        <v>295</v>
      </c>
      <c r="E24" s="8" t="s">
        <v>430</v>
      </c>
      <c r="F24" s="25" t="s">
        <v>568</v>
      </c>
      <c r="G24" s="26" t="s">
        <v>570</v>
      </c>
      <c r="H24" s="12" t="s">
        <v>308</v>
      </c>
      <c r="I24" s="10" t="s">
        <v>486</v>
      </c>
      <c r="J24" s="8" t="s">
        <v>348</v>
      </c>
      <c r="K24" s="8" t="s">
        <v>347</v>
      </c>
    </row>
    <row r="25" spans="1:11" ht="42" x14ac:dyDescent="0.3">
      <c r="A25" s="27" t="str">
        <f>IF(F25="00","General"&amp;INDEX(问题代码结构!$B$12:$B$20,MATCH($E25,问题代码结构!$C$12:$C$20,0)),D25&amp;F25)</f>
        <v>General01</v>
      </c>
      <c r="B25" s="24" t="str">
        <f t="shared" si="0"/>
        <v>学术论坛-通用</v>
      </c>
      <c r="C25" s="8" t="str">
        <f t="shared" si="1"/>
        <v>MN010015</v>
      </c>
      <c r="D25" s="9" t="s">
        <v>295</v>
      </c>
      <c r="E25" s="8" t="s">
        <v>430</v>
      </c>
      <c r="F25" s="25" t="s">
        <v>568</v>
      </c>
      <c r="G25" s="26" t="s">
        <v>570</v>
      </c>
      <c r="H25" s="12" t="s">
        <v>309</v>
      </c>
      <c r="I25" s="10" t="s">
        <v>487</v>
      </c>
      <c r="J25" s="8" t="s">
        <v>349</v>
      </c>
      <c r="K25" s="8" t="s">
        <v>347</v>
      </c>
    </row>
    <row r="26" spans="1:11" x14ac:dyDescent="0.3">
      <c r="A26" s="27" t="str">
        <f>IF(F26="00","General"&amp;INDEX(问题代码结构!$B$12:$B$20,MATCH($E26,问题代码结构!$C$12:$C$20,0)),D26&amp;F26)</f>
        <v>General01</v>
      </c>
      <c r="B26" s="24" t="str">
        <f t="shared" si="0"/>
        <v>学术论坛-通用</v>
      </c>
      <c r="C26" s="8" t="str">
        <f t="shared" si="1"/>
        <v>MN010016</v>
      </c>
      <c r="D26" s="9" t="s">
        <v>295</v>
      </c>
      <c r="E26" s="8" t="s">
        <v>430</v>
      </c>
      <c r="F26" s="25" t="s">
        <v>568</v>
      </c>
      <c r="G26" s="26" t="s">
        <v>570</v>
      </c>
      <c r="H26" s="12" t="s">
        <v>310</v>
      </c>
      <c r="I26" s="10" t="s">
        <v>488</v>
      </c>
      <c r="J26" s="8" t="s">
        <v>350</v>
      </c>
      <c r="K26" s="8" t="s">
        <v>347</v>
      </c>
    </row>
    <row r="27" spans="1:11" ht="28" x14ac:dyDescent="0.3">
      <c r="A27" s="27" t="str">
        <f>IF(F27="00","General"&amp;INDEX(问题代码结构!$B$12:$B$20,MATCH($E27,问题代码结构!$C$12:$C$20,0)),D27&amp;F27)</f>
        <v>General01</v>
      </c>
      <c r="B27" s="24" t="str">
        <f t="shared" si="0"/>
        <v>学术论坛-通用</v>
      </c>
      <c r="C27" s="8" t="str">
        <f t="shared" si="1"/>
        <v>MN010017</v>
      </c>
      <c r="D27" s="9" t="s">
        <v>295</v>
      </c>
      <c r="E27" s="8" t="s">
        <v>430</v>
      </c>
      <c r="F27" s="25" t="s">
        <v>568</v>
      </c>
      <c r="G27" s="26" t="s">
        <v>570</v>
      </c>
      <c r="H27" s="12" t="s">
        <v>311</v>
      </c>
      <c r="I27" s="10" t="s">
        <v>489</v>
      </c>
      <c r="J27" s="8" t="s">
        <v>351</v>
      </c>
      <c r="K27" s="8" t="s">
        <v>347</v>
      </c>
    </row>
    <row r="28" spans="1:11" ht="28" x14ac:dyDescent="0.3">
      <c r="A28" s="27" t="str">
        <f>IF(F28="00","General"&amp;INDEX(问题代码结构!$B$12:$B$20,MATCH($E28,问题代码结构!$C$12:$C$20,0)),D28&amp;F28)</f>
        <v>General01</v>
      </c>
      <c r="B28" s="24" t="str">
        <f t="shared" si="0"/>
        <v>学术论坛-通用</v>
      </c>
      <c r="C28" s="8" t="str">
        <f t="shared" si="1"/>
        <v>MN010018</v>
      </c>
      <c r="D28" s="9" t="s">
        <v>295</v>
      </c>
      <c r="E28" s="8" t="s">
        <v>430</v>
      </c>
      <c r="F28" s="25" t="s">
        <v>568</v>
      </c>
      <c r="G28" s="26" t="s">
        <v>570</v>
      </c>
      <c r="H28" s="12" t="s">
        <v>312</v>
      </c>
      <c r="I28" s="10" t="s">
        <v>490</v>
      </c>
      <c r="J28" s="8" t="s">
        <v>352</v>
      </c>
      <c r="K28" s="8" t="s">
        <v>353</v>
      </c>
    </row>
    <row r="29" spans="1:11" ht="28" x14ac:dyDescent="0.3">
      <c r="A29" s="27" t="str">
        <f>IF(F29="00","General"&amp;INDEX(问题代码结构!$B$12:$B$20,MATCH($E29,问题代码结构!$C$12:$C$20,0)),D29&amp;F29)</f>
        <v>General01</v>
      </c>
      <c r="B29" s="24" t="str">
        <f t="shared" si="0"/>
        <v>学术论坛-通用</v>
      </c>
      <c r="C29" s="8" t="str">
        <f t="shared" si="1"/>
        <v>MN010019</v>
      </c>
      <c r="D29" s="9" t="s">
        <v>295</v>
      </c>
      <c r="E29" s="8" t="s">
        <v>430</v>
      </c>
      <c r="F29" s="25" t="s">
        <v>568</v>
      </c>
      <c r="G29" s="26" t="s">
        <v>570</v>
      </c>
      <c r="H29" s="12" t="s">
        <v>313</v>
      </c>
      <c r="I29" s="10" t="s">
        <v>491</v>
      </c>
      <c r="J29" s="8" t="s">
        <v>354</v>
      </c>
      <c r="K29" s="8" t="s">
        <v>355</v>
      </c>
    </row>
    <row r="30" spans="1:11" ht="42" x14ac:dyDescent="0.3">
      <c r="A30" s="27" t="str">
        <f>IF(F30="00","General"&amp;INDEX(问题代码结构!$B$12:$B$20,MATCH($E30,问题代码结构!$C$12:$C$20,0)),D30&amp;F30)</f>
        <v>General01</v>
      </c>
      <c r="B30" s="24" t="str">
        <f t="shared" si="0"/>
        <v>学术论坛-通用</v>
      </c>
      <c r="C30" s="8" t="str">
        <f t="shared" si="1"/>
        <v>MN010020</v>
      </c>
      <c r="D30" s="9" t="s">
        <v>295</v>
      </c>
      <c r="E30" s="8" t="s">
        <v>430</v>
      </c>
      <c r="F30" s="25" t="s">
        <v>568</v>
      </c>
      <c r="G30" s="26" t="s">
        <v>570</v>
      </c>
      <c r="H30" s="12" t="s">
        <v>314</v>
      </c>
      <c r="I30" s="10" t="s">
        <v>492</v>
      </c>
      <c r="J30" s="8" t="s">
        <v>356</v>
      </c>
      <c r="K30" s="8" t="s">
        <v>357</v>
      </c>
    </row>
    <row r="31" spans="1:11" ht="28" x14ac:dyDescent="0.3">
      <c r="A31" s="27" t="str">
        <f>IF(F31="00","General"&amp;INDEX(问题代码结构!$B$12:$B$20,MATCH($E31,问题代码结构!$C$12:$C$20,0)),D31&amp;F31)</f>
        <v>General01</v>
      </c>
      <c r="B31" s="24" t="str">
        <f t="shared" si="0"/>
        <v>学术论坛-通用</v>
      </c>
      <c r="C31" s="8" t="str">
        <f t="shared" si="1"/>
        <v>MN010021</v>
      </c>
      <c r="D31" s="9" t="s">
        <v>295</v>
      </c>
      <c r="E31" s="8" t="s">
        <v>430</v>
      </c>
      <c r="F31" s="25" t="s">
        <v>568</v>
      </c>
      <c r="G31" s="26" t="s">
        <v>570</v>
      </c>
      <c r="H31" s="12" t="s">
        <v>315</v>
      </c>
      <c r="I31" s="10" t="s">
        <v>493</v>
      </c>
      <c r="J31" s="8" t="s">
        <v>358</v>
      </c>
      <c r="K31" s="8" t="s">
        <v>359</v>
      </c>
    </row>
    <row r="32" spans="1:11" ht="28" x14ac:dyDescent="0.3">
      <c r="A32" s="27" t="str">
        <f>IF(F32="00","General"&amp;INDEX(问题代码结构!$B$12:$B$20,MATCH($E32,问题代码结构!$C$12:$C$20,0)),D32&amp;F32)</f>
        <v>0102</v>
      </c>
      <c r="B32" s="24" t="str">
        <f t="shared" si="0"/>
        <v>学术论坛-会议餐费</v>
      </c>
      <c r="C32" s="8" t="str">
        <f t="shared" si="1"/>
        <v>MN010201</v>
      </c>
      <c r="D32" s="9" t="s">
        <v>295</v>
      </c>
      <c r="E32" s="8" t="s">
        <v>430</v>
      </c>
      <c r="F32" s="5" t="s">
        <v>296</v>
      </c>
      <c r="G32" s="8" t="s">
        <v>432</v>
      </c>
      <c r="H32" s="9" t="s">
        <v>295</v>
      </c>
      <c r="I32" s="8" t="s">
        <v>382</v>
      </c>
      <c r="J32" s="8" t="s">
        <v>383</v>
      </c>
      <c r="K32" s="8" t="s">
        <v>328</v>
      </c>
    </row>
    <row r="33" spans="1:11" ht="28" x14ac:dyDescent="0.3">
      <c r="A33" s="27" t="str">
        <f>IF(F33="00","General"&amp;INDEX(问题代码结构!$B$12:$B$20,MATCH($E33,问题代码结构!$C$12:$C$20,0)),D33&amp;F33)</f>
        <v>0102</v>
      </c>
      <c r="B33" s="24" t="str">
        <f t="shared" si="0"/>
        <v>学术论坛-会议餐费</v>
      </c>
      <c r="C33" s="8" t="str">
        <f t="shared" si="1"/>
        <v>MN010202</v>
      </c>
      <c r="D33" s="9" t="s">
        <v>295</v>
      </c>
      <c r="E33" s="8" t="s">
        <v>430</v>
      </c>
      <c r="F33" s="12" t="s">
        <v>296</v>
      </c>
      <c r="G33" s="8" t="s">
        <v>432</v>
      </c>
      <c r="H33" s="9" t="s">
        <v>296</v>
      </c>
      <c r="I33" s="8" t="s">
        <v>384</v>
      </c>
      <c r="J33" s="8" t="s">
        <v>385</v>
      </c>
      <c r="K33" s="8" t="s">
        <v>386</v>
      </c>
    </row>
    <row r="34" spans="1:11" ht="28" x14ac:dyDescent="0.3">
      <c r="A34" s="27" t="str">
        <f>IF(F34="00","General"&amp;INDEX(问题代码结构!$B$12:$B$20,MATCH($E34,问题代码结构!$C$12:$C$20,0)),D34&amp;F34)</f>
        <v>0102</v>
      </c>
      <c r="B34" s="24" t="str">
        <f t="shared" si="0"/>
        <v>学术论坛-会议餐费</v>
      </c>
      <c r="C34" s="8" t="str">
        <f t="shared" si="1"/>
        <v>MN010203</v>
      </c>
      <c r="D34" s="9" t="s">
        <v>295</v>
      </c>
      <c r="E34" s="8" t="s">
        <v>430</v>
      </c>
      <c r="F34" s="12" t="s">
        <v>296</v>
      </c>
      <c r="G34" s="8" t="s">
        <v>432</v>
      </c>
      <c r="H34" s="9" t="s">
        <v>297</v>
      </c>
      <c r="I34" s="8" t="s">
        <v>387</v>
      </c>
      <c r="J34" s="8" t="s">
        <v>388</v>
      </c>
      <c r="K34" s="8" t="s">
        <v>328</v>
      </c>
    </row>
    <row r="35" spans="1:11" ht="28" x14ac:dyDescent="0.3">
      <c r="A35" s="27" t="str">
        <f>IF(F35="00","General"&amp;INDEX(问题代码结构!$B$12:$B$20,MATCH($E35,问题代码结构!$C$12:$C$20,0)),D35&amp;F35)</f>
        <v>0102</v>
      </c>
      <c r="B35" s="24" t="str">
        <f t="shared" si="0"/>
        <v>学术论坛-会议餐费</v>
      </c>
      <c r="C35" s="8" t="str">
        <f t="shared" si="1"/>
        <v>MN010204</v>
      </c>
      <c r="D35" s="9" t="s">
        <v>295</v>
      </c>
      <c r="E35" s="8" t="s">
        <v>430</v>
      </c>
      <c r="F35" s="12" t="s">
        <v>296</v>
      </c>
      <c r="G35" s="8" t="s">
        <v>432</v>
      </c>
      <c r="H35" s="9" t="s">
        <v>298</v>
      </c>
      <c r="I35" s="8" t="s">
        <v>389</v>
      </c>
      <c r="J35" s="8" t="s">
        <v>390</v>
      </c>
      <c r="K35" s="8" t="s">
        <v>391</v>
      </c>
    </row>
    <row r="36" spans="1:11" ht="28" x14ac:dyDescent="0.3">
      <c r="A36" s="27" t="str">
        <f>IF(F36="00","General"&amp;INDEX(问题代码结构!$B$12:$B$20,MATCH($E36,问题代码结构!$C$12:$C$20,0)),D36&amp;F36)</f>
        <v>0102</v>
      </c>
      <c r="B36" s="24" t="str">
        <f t="shared" si="0"/>
        <v>学术论坛-会议餐费</v>
      </c>
      <c r="C36" s="8" t="str">
        <f t="shared" si="1"/>
        <v>MN010205</v>
      </c>
      <c r="D36" s="9" t="s">
        <v>295</v>
      </c>
      <c r="E36" s="8" t="s">
        <v>430</v>
      </c>
      <c r="F36" s="12" t="s">
        <v>296</v>
      </c>
      <c r="G36" s="8" t="s">
        <v>432</v>
      </c>
      <c r="H36" s="9" t="s">
        <v>299</v>
      </c>
      <c r="I36" s="8" t="s">
        <v>392</v>
      </c>
      <c r="J36" s="8" t="s">
        <v>393</v>
      </c>
      <c r="K36" s="8" t="s">
        <v>328</v>
      </c>
    </row>
    <row r="37" spans="1:11" ht="28" x14ac:dyDescent="0.3">
      <c r="A37" s="27" t="str">
        <f>IF(F37="00","General"&amp;INDEX(问题代码结构!$B$12:$B$20,MATCH($E37,问题代码结构!$C$12:$C$20,0)),D37&amp;F37)</f>
        <v>0102</v>
      </c>
      <c r="B37" s="24" t="str">
        <f t="shared" si="0"/>
        <v>学术论坛-会议餐费</v>
      </c>
      <c r="C37" s="8" t="str">
        <f t="shared" si="1"/>
        <v>MN010206</v>
      </c>
      <c r="D37" s="9" t="s">
        <v>295</v>
      </c>
      <c r="E37" s="8" t="s">
        <v>430</v>
      </c>
      <c r="F37" s="12" t="s">
        <v>296</v>
      </c>
      <c r="G37" s="8" t="s">
        <v>432</v>
      </c>
      <c r="H37" s="9" t="s">
        <v>300</v>
      </c>
      <c r="I37" s="8" t="s">
        <v>394</v>
      </c>
      <c r="J37" s="8" t="s">
        <v>395</v>
      </c>
      <c r="K37" s="8" t="s">
        <v>396</v>
      </c>
    </row>
    <row r="38" spans="1:11" ht="42" x14ac:dyDescent="0.3">
      <c r="A38" s="27" t="str">
        <f>IF(F38="00","General"&amp;INDEX(问题代码结构!$B$12:$B$20,MATCH($E38,问题代码结构!$C$12:$C$20,0)),D38&amp;F38)</f>
        <v>0103</v>
      </c>
      <c r="B38" s="24" t="str">
        <f t="shared" si="0"/>
        <v>学术论坛-会议交通费</v>
      </c>
      <c r="C38" s="8" t="str">
        <f t="shared" si="1"/>
        <v>MN010301</v>
      </c>
      <c r="D38" s="9" t="s">
        <v>295</v>
      </c>
      <c r="E38" s="8" t="s">
        <v>430</v>
      </c>
      <c r="F38" s="9" t="s">
        <v>297</v>
      </c>
      <c r="G38" s="8" t="s">
        <v>433</v>
      </c>
      <c r="H38" s="9" t="s">
        <v>295</v>
      </c>
      <c r="I38" s="10" t="s">
        <v>397</v>
      </c>
      <c r="J38" s="8" t="s">
        <v>398</v>
      </c>
      <c r="K38" s="8" t="s">
        <v>328</v>
      </c>
    </row>
    <row r="39" spans="1:11" ht="42" x14ac:dyDescent="0.3">
      <c r="A39" s="27" t="str">
        <f>IF(F39="00","General"&amp;INDEX(问题代码结构!$B$12:$B$20,MATCH($E39,问题代码结构!$C$12:$C$20,0)),D39&amp;F39)</f>
        <v>0104</v>
      </c>
      <c r="B39" s="24" t="str">
        <f t="shared" si="0"/>
        <v>学术论坛-会议租车费</v>
      </c>
      <c r="C39" s="8" t="str">
        <f t="shared" si="1"/>
        <v>MN010401</v>
      </c>
      <c r="D39" s="9" t="s">
        <v>295</v>
      </c>
      <c r="E39" s="8" t="s">
        <v>430</v>
      </c>
      <c r="F39" s="9" t="s">
        <v>298</v>
      </c>
      <c r="G39" s="8" t="s">
        <v>434</v>
      </c>
      <c r="H39" s="12" t="s">
        <v>295</v>
      </c>
      <c r="I39" s="10" t="s">
        <v>399</v>
      </c>
      <c r="J39" s="8" t="s">
        <v>400</v>
      </c>
      <c r="K39" s="8" t="s">
        <v>332</v>
      </c>
    </row>
    <row r="40" spans="1:11" ht="28" x14ac:dyDescent="0.3">
      <c r="A40" s="27" t="str">
        <f>IF(F40="00","General"&amp;INDEX(问题代码结构!$B$12:$B$20,MATCH($E40,问题代码结构!$C$12:$C$20,0)),D40&amp;F40)</f>
        <v>0104</v>
      </c>
      <c r="B40" s="24" t="str">
        <f t="shared" si="0"/>
        <v>学术论坛-会议租车费</v>
      </c>
      <c r="C40" s="8" t="str">
        <f t="shared" si="1"/>
        <v>MN010402</v>
      </c>
      <c r="D40" s="9" t="s">
        <v>295</v>
      </c>
      <c r="E40" s="8" t="s">
        <v>430</v>
      </c>
      <c r="F40" s="12" t="s">
        <v>298</v>
      </c>
      <c r="G40" s="8" t="s">
        <v>434</v>
      </c>
      <c r="H40" s="9" t="s">
        <v>296</v>
      </c>
      <c r="I40" s="10" t="s">
        <v>392</v>
      </c>
      <c r="J40" s="8" t="s">
        <v>393</v>
      </c>
      <c r="K40" s="8" t="s">
        <v>328</v>
      </c>
    </row>
    <row r="41" spans="1:11" ht="28" x14ac:dyDescent="0.3">
      <c r="A41" s="27" t="str">
        <f>IF(F41="00","General"&amp;INDEX(问题代码结构!$B$12:$B$20,MATCH($E41,问题代码结构!$C$12:$C$20,0)),D41&amp;F41)</f>
        <v>0104</v>
      </c>
      <c r="B41" s="24" t="str">
        <f t="shared" si="0"/>
        <v>学术论坛-会议租车费</v>
      </c>
      <c r="C41" s="8" t="str">
        <f t="shared" si="1"/>
        <v>MN010403</v>
      </c>
      <c r="D41" s="9" t="s">
        <v>295</v>
      </c>
      <c r="E41" s="8" t="s">
        <v>430</v>
      </c>
      <c r="F41" s="12" t="s">
        <v>298</v>
      </c>
      <c r="G41" s="8" t="s">
        <v>434</v>
      </c>
      <c r="H41" s="9" t="s">
        <v>297</v>
      </c>
      <c r="I41" s="10" t="s">
        <v>394</v>
      </c>
      <c r="J41" s="8" t="s">
        <v>395</v>
      </c>
      <c r="K41" s="8" t="s">
        <v>396</v>
      </c>
    </row>
    <row r="42" spans="1:11" ht="42" x14ac:dyDescent="0.3">
      <c r="A42" s="27" t="str">
        <f>IF(F42="00","General"&amp;INDEX(问题代码结构!$B$12:$B$20,MATCH($E42,问题代码结构!$C$12:$C$20,0)),D42&amp;F42)</f>
        <v>0105</v>
      </c>
      <c r="B42" s="24" t="str">
        <f t="shared" si="0"/>
        <v>学术论坛-会议火车票</v>
      </c>
      <c r="C42" s="8" t="str">
        <f t="shared" si="1"/>
        <v>MN010501</v>
      </c>
      <c r="D42" s="5" t="s">
        <v>295</v>
      </c>
      <c r="E42" s="8" t="s">
        <v>430</v>
      </c>
      <c r="F42" s="9" t="s">
        <v>299</v>
      </c>
      <c r="G42" s="8" t="s">
        <v>435</v>
      </c>
      <c r="H42" s="9" t="s">
        <v>295</v>
      </c>
      <c r="I42" s="10" t="s">
        <v>401</v>
      </c>
      <c r="J42" s="8" t="s">
        <v>402</v>
      </c>
      <c r="K42" s="8" t="s">
        <v>328</v>
      </c>
    </row>
    <row r="43" spans="1:11" ht="28" x14ac:dyDescent="0.3">
      <c r="A43" s="27" t="str">
        <f>IF(F43="00","General"&amp;INDEX(问题代码结构!$B$12:$B$20,MATCH($E43,问题代码结构!$C$12:$C$20,0)),D43&amp;F43)</f>
        <v>0106</v>
      </c>
      <c r="B43" s="24" t="str">
        <f t="shared" si="0"/>
        <v>学术论坛-会议茶歇</v>
      </c>
      <c r="C43" s="8" t="str">
        <f t="shared" si="1"/>
        <v>MN010601</v>
      </c>
      <c r="D43" s="5" t="s">
        <v>295</v>
      </c>
      <c r="E43" s="8" t="s">
        <v>430</v>
      </c>
      <c r="F43" s="5" t="s">
        <v>300</v>
      </c>
      <c r="G43" s="8" t="s">
        <v>436</v>
      </c>
      <c r="H43" s="9" t="s">
        <v>295</v>
      </c>
      <c r="I43" s="10" t="s">
        <v>403</v>
      </c>
      <c r="J43" s="8" t="s">
        <v>404</v>
      </c>
      <c r="K43" s="8" t="s">
        <v>386</v>
      </c>
    </row>
    <row r="44" spans="1:11" ht="28" x14ac:dyDescent="0.3">
      <c r="A44" s="27" t="str">
        <f>IF(F44="00","General"&amp;INDEX(问题代码结构!$B$12:$B$20,MATCH($E44,问题代码结构!$C$12:$C$20,0)),D44&amp;F44)</f>
        <v>0106</v>
      </c>
      <c r="B44" s="24" t="str">
        <f t="shared" si="0"/>
        <v>学术论坛-会议茶歇</v>
      </c>
      <c r="C44" s="8" t="str">
        <f t="shared" si="1"/>
        <v>MN010602</v>
      </c>
      <c r="D44" s="5" t="s">
        <v>295</v>
      </c>
      <c r="E44" s="8" t="s">
        <v>430</v>
      </c>
      <c r="F44" s="5" t="s">
        <v>300</v>
      </c>
      <c r="G44" s="8" t="s">
        <v>436</v>
      </c>
      <c r="H44" s="9" t="s">
        <v>296</v>
      </c>
      <c r="I44" s="10" t="s">
        <v>405</v>
      </c>
      <c r="J44" s="8" t="s">
        <v>406</v>
      </c>
      <c r="K44" s="8" t="s">
        <v>328</v>
      </c>
    </row>
    <row r="45" spans="1:11" ht="28" x14ac:dyDescent="0.3">
      <c r="A45" s="27" t="str">
        <f>IF(F45="00","General"&amp;INDEX(问题代码结构!$B$12:$B$20,MATCH($E45,问题代码结构!$C$12:$C$20,0)),D45&amp;F45)</f>
        <v>0106</v>
      </c>
      <c r="B45" s="24" t="str">
        <f t="shared" si="0"/>
        <v>学术论坛-会议茶歇</v>
      </c>
      <c r="C45" s="8" t="str">
        <f t="shared" si="1"/>
        <v>MN010603</v>
      </c>
      <c r="D45" s="13" t="s">
        <v>295</v>
      </c>
      <c r="E45" s="13" t="s">
        <v>430</v>
      </c>
      <c r="F45" s="13" t="s">
        <v>300</v>
      </c>
      <c r="G45" s="13" t="s">
        <v>436</v>
      </c>
      <c r="H45" s="13" t="s">
        <v>297</v>
      </c>
      <c r="I45" s="13" t="s">
        <v>392</v>
      </c>
      <c r="J45" s="13" t="s">
        <v>393</v>
      </c>
      <c r="K45" s="13" t="s">
        <v>328</v>
      </c>
    </row>
    <row r="46" spans="1:11" ht="28" x14ac:dyDescent="0.3">
      <c r="A46" s="27" t="str">
        <f>IF(F46="00","General"&amp;INDEX(问题代码结构!$B$12:$B$20,MATCH($E46,问题代码结构!$C$12:$C$20,0)),D46&amp;F46)</f>
        <v>0106</v>
      </c>
      <c r="B46" s="24" t="str">
        <f t="shared" si="0"/>
        <v>学术论坛-会议茶歇</v>
      </c>
      <c r="C46" s="8" t="str">
        <f t="shared" si="1"/>
        <v>MN010604</v>
      </c>
      <c r="D46" s="13" t="s">
        <v>295</v>
      </c>
      <c r="E46" s="13" t="s">
        <v>430</v>
      </c>
      <c r="F46" s="13" t="s">
        <v>300</v>
      </c>
      <c r="G46" s="13" t="s">
        <v>436</v>
      </c>
      <c r="H46" s="13" t="s">
        <v>298</v>
      </c>
      <c r="I46" s="13" t="s">
        <v>394</v>
      </c>
      <c r="J46" s="13" t="s">
        <v>395</v>
      </c>
      <c r="K46" s="13" t="s">
        <v>396</v>
      </c>
    </row>
    <row r="47" spans="1:11" ht="28" x14ac:dyDescent="0.3">
      <c r="A47" s="27" t="str">
        <f>IF(F47="00","General"&amp;INDEX(问题代码结构!$B$12:$B$20,MATCH($E47,问题代码结构!$C$12:$C$20,0)),D47&amp;F47)</f>
        <v>0107</v>
      </c>
      <c r="B47" s="24" t="str">
        <f t="shared" si="0"/>
        <v>学术论坛-会议场租</v>
      </c>
      <c r="C47" s="8" t="str">
        <f t="shared" si="1"/>
        <v>MN010701</v>
      </c>
      <c r="D47" s="13" t="s">
        <v>295</v>
      </c>
      <c r="E47" s="13" t="s">
        <v>430</v>
      </c>
      <c r="F47" s="13" t="s">
        <v>301</v>
      </c>
      <c r="G47" s="13" t="s">
        <v>437</v>
      </c>
      <c r="H47" s="13" t="s">
        <v>295</v>
      </c>
      <c r="I47" s="13" t="s">
        <v>392</v>
      </c>
      <c r="J47" s="13" t="s">
        <v>393</v>
      </c>
      <c r="K47" s="13" t="s">
        <v>328</v>
      </c>
    </row>
    <row r="48" spans="1:11" ht="28" x14ac:dyDescent="0.3">
      <c r="A48" s="27" t="str">
        <f>IF(F48="00","General"&amp;INDEX(问题代码结构!$B$12:$B$20,MATCH($E48,问题代码结构!$C$12:$C$20,0)),D48&amp;F48)</f>
        <v>0107</v>
      </c>
      <c r="B48" s="24" t="str">
        <f t="shared" si="0"/>
        <v>学术论坛-会议场租</v>
      </c>
      <c r="C48" s="8" t="str">
        <f t="shared" si="1"/>
        <v>MN010702</v>
      </c>
      <c r="D48" s="13" t="s">
        <v>295</v>
      </c>
      <c r="E48" s="13" t="s">
        <v>430</v>
      </c>
      <c r="F48" s="13" t="s">
        <v>301</v>
      </c>
      <c r="G48" s="13" t="s">
        <v>437</v>
      </c>
      <c r="H48" s="13" t="s">
        <v>296</v>
      </c>
      <c r="I48" s="13" t="s">
        <v>394</v>
      </c>
      <c r="J48" s="13" t="s">
        <v>395</v>
      </c>
      <c r="K48" s="13" t="s">
        <v>396</v>
      </c>
    </row>
    <row r="49" spans="1:11" ht="28" x14ac:dyDescent="0.3">
      <c r="A49" s="27" t="str">
        <f>IF(F49="00","General"&amp;INDEX(问题代码结构!$B$12:$B$20,MATCH($E49,问题代码结构!$C$12:$C$20,0)),D49&amp;F49)</f>
        <v>0108</v>
      </c>
      <c r="B49" s="24" t="str">
        <f t="shared" si="0"/>
        <v>学术论坛-会议个人车辆</v>
      </c>
      <c r="C49" s="8" t="str">
        <f t="shared" si="1"/>
        <v>MN010801</v>
      </c>
      <c r="D49" s="13" t="s">
        <v>295</v>
      </c>
      <c r="E49" s="13" t="s">
        <v>430</v>
      </c>
      <c r="F49" s="13" t="s">
        <v>302</v>
      </c>
      <c r="G49" s="13" t="s">
        <v>438</v>
      </c>
      <c r="H49" s="13" t="s">
        <v>295</v>
      </c>
      <c r="I49" s="13" t="s">
        <v>392</v>
      </c>
      <c r="J49" s="13" t="s">
        <v>393</v>
      </c>
      <c r="K49" s="13" t="s">
        <v>328</v>
      </c>
    </row>
    <row r="50" spans="1:11" ht="28" x14ac:dyDescent="0.3">
      <c r="A50" s="27" t="str">
        <f>IF(F50="00","General"&amp;INDEX(问题代码结构!$B$12:$B$20,MATCH($E50,问题代码结构!$C$12:$C$20,0)),D50&amp;F50)</f>
        <v>0108</v>
      </c>
      <c r="B50" s="24" t="str">
        <f t="shared" si="0"/>
        <v>学术论坛-会议个人车辆</v>
      </c>
      <c r="C50" s="8" t="str">
        <f t="shared" si="1"/>
        <v>MN010802</v>
      </c>
      <c r="D50" s="13" t="s">
        <v>295</v>
      </c>
      <c r="E50" s="13" t="s">
        <v>430</v>
      </c>
      <c r="F50" s="13" t="s">
        <v>302</v>
      </c>
      <c r="G50" s="13" t="s">
        <v>438</v>
      </c>
      <c r="H50" s="13" t="s">
        <v>296</v>
      </c>
      <c r="I50" s="13" t="s">
        <v>394</v>
      </c>
      <c r="J50" s="13" t="s">
        <v>395</v>
      </c>
      <c r="K50" s="13" t="s">
        <v>396</v>
      </c>
    </row>
    <row r="51" spans="1:11" ht="28" x14ac:dyDescent="0.3">
      <c r="A51" s="27" t="str">
        <f>IF(F51="00","General"&amp;INDEX(问题代码结构!$B$12:$B$20,MATCH($E51,问题代码结构!$C$12:$C$20,0)),D51&amp;F51)</f>
        <v>0109</v>
      </c>
      <c r="B51" s="24" t="str">
        <f t="shared" si="0"/>
        <v>学术论坛-会议推广材料制作</v>
      </c>
      <c r="C51" s="8" t="str">
        <f t="shared" si="1"/>
        <v>MN010901</v>
      </c>
      <c r="D51" s="13" t="s">
        <v>295</v>
      </c>
      <c r="E51" s="13" t="s">
        <v>430</v>
      </c>
      <c r="F51" s="13" t="s">
        <v>303</v>
      </c>
      <c r="G51" s="13" t="s">
        <v>439</v>
      </c>
      <c r="H51" s="13" t="s">
        <v>295</v>
      </c>
      <c r="I51" s="13" t="s">
        <v>392</v>
      </c>
      <c r="J51" s="13" t="s">
        <v>393</v>
      </c>
      <c r="K51" s="13" t="s">
        <v>328</v>
      </c>
    </row>
    <row r="52" spans="1:11" ht="28" x14ac:dyDescent="0.3">
      <c r="A52" s="27" t="str">
        <f>IF(F52="00","General"&amp;INDEX(问题代码结构!$B$12:$B$20,MATCH($E52,问题代码结构!$C$12:$C$20,0)),D52&amp;F52)</f>
        <v>0109</v>
      </c>
      <c r="B52" s="24" t="str">
        <f t="shared" si="0"/>
        <v>学术论坛-会议推广材料制作</v>
      </c>
      <c r="C52" s="8" t="str">
        <f t="shared" si="1"/>
        <v>MN010902</v>
      </c>
      <c r="D52" s="13" t="s">
        <v>295</v>
      </c>
      <c r="E52" s="13" t="s">
        <v>430</v>
      </c>
      <c r="F52" s="13" t="s">
        <v>303</v>
      </c>
      <c r="G52" s="13" t="s">
        <v>439</v>
      </c>
      <c r="H52" s="13" t="s">
        <v>296</v>
      </c>
      <c r="I52" s="13" t="s">
        <v>394</v>
      </c>
      <c r="J52" s="13" t="s">
        <v>395</v>
      </c>
      <c r="K52" s="13" t="s">
        <v>396</v>
      </c>
    </row>
    <row r="53" spans="1:11" ht="56" x14ac:dyDescent="0.3">
      <c r="A53" s="27" t="str">
        <f>IF(F53="00","General"&amp;INDEX(问题代码结构!$B$12:$B$20,MATCH($E53,问题代码结构!$C$12:$C$20,0)),D53&amp;F53)</f>
        <v>0110</v>
      </c>
      <c r="B53" s="24" t="str">
        <f t="shared" si="0"/>
        <v>学术论坛-会议住宿费</v>
      </c>
      <c r="C53" s="8" t="str">
        <f t="shared" si="1"/>
        <v>MN011001</v>
      </c>
      <c r="D53" s="13" t="s">
        <v>295</v>
      </c>
      <c r="E53" s="13" t="s">
        <v>430</v>
      </c>
      <c r="F53" s="13" t="s">
        <v>304</v>
      </c>
      <c r="G53" s="13" t="s">
        <v>440</v>
      </c>
      <c r="H53" s="13" t="s">
        <v>295</v>
      </c>
      <c r="I53" s="13" t="s">
        <v>407</v>
      </c>
      <c r="J53" s="13" t="s">
        <v>408</v>
      </c>
      <c r="K53" s="13" t="s">
        <v>328</v>
      </c>
    </row>
    <row r="54" spans="1:11" ht="28" x14ac:dyDescent="0.3">
      <c r="A54" s="27" t="str">
        <f>IF(F54="00","General"&amp;INDEX(问题代码结构!$B$12:$B$20,MATCH($E54,问题代码结构!$C$12:$C$20,0)),D54&amp;F54)</f>
        <v>0110</v>
      </c>
      <c r="B54" s="24" t="str">
        <f t="shared" si="0"/>
        <v>学术论坛-会议住宿费</v>
      </c>
      <c r="C54" s="8" t="str">
        <f t="shared" si="1"/>
        <v>MN011002</v>
      </c>
      <c r="D54" s="13" t="s">
        <v>295</v>
      </c>
      <c r="E54" s="13" t="s">
        <v>430</v>
      </c>
      <c r="F54" s="13" t="s">
        <v>304</v>
      </c>
      <c r="G54" s="13" t="s">
        <v>440</v>
      </c>
      <c r="H54" s="13" t="s">
        <v>296</v>
      </c>
      <c r="I54" s="13" t="s">
        <v>392</v>
      </c>
      <c r="J54" s="13" t="s">
        <v>393</v>
      </c>
      <c r="K54" s="13" t="s">
        <v>328</v>
      </c>
    </row>
    <row r="55" spans="1:11" ht="28" x14ac:dyDescent="0.3">
      <c r="A55" s="27" t="str">
        <f>IF(F55="00","General"&amp;INDEX(问题代码结构!$B$12:$B$20,MATCH($E55,问题代码结构!$C$12:$C$20,0)),D55&amp;F55)</f>
        <v>0110</v>
      </c>
      <c r="B55" s="24" t="str">
        <f t="shared" si="0"/>
        <v>学术论坛-会议住宿费</v>
      </c>
      <c r="C55" s="8" t="str">
        <f t="shared" si="1"/>
        <v>MN011003</v>
      </c>
      <c r="D55" s="13" t="s">
        <v>295</v>
      </c>
      <c r="E55" s="13" t="s">
        <v>430</v>
      </c>
      <c r="F55" s="13" t="s">
        <v>304</v>
      </c>
      <c r="G55" s="13" t="s">
        <v>440</v>
      </c>
      <c r="H55" s="13" t="s">
        <v>297</v>
      </c>
      <c r="I55" s="13" t="s">
        <v>394</v>
      </c>
      <c r="J55" s="13" t="s">
        <v>395</v>
      </c>
      <c r="K55" s="13" t="s">
        <v>396</v>
      </c>
    </row>
    <row r="56" spans="1:11" ht="28" x14ac:dyDescent="0.3">
      <c r="A56" s="27" t="str">
        <f>IF(F56="00","General"&amp;INDEX(问题代码结构!$B$12:$B$20,MATCH($E56,问题代码结构!$C$12:$C$20,0)),D56&amp;F56)</f>
        <v>0111</v>
      </c>
      <c r="B56" s="24" t="str">
        <f t="shared" si="0"/>
        <v>学术论坛-会议杂项开支</v>
      </c>
      <c r="C56" s="8" t="str">
        <f t="shared" si="1"/>
        <v>MN011101</v>
      </c>
      <c r="D56" s="13" t="s">
        <v>295</v>
      </c>
      <c r="E56" s="13" t="s">
        <v>430</v>
      </c>
      <c r="F56" s="13" t="s">
        <v>305</v>
      </c>
      <c r="G56" s="13" t="s">
        <v>441</v>
      </c>
      <c r="H56" s="13" t="s">
        <v>295</v>
      </c>
      <c r="I56" s="13" t="s">
        <v>392</v>
      </c>
      <c r="J56" s="13" t="s">
        <v>393</v>
      </c>
      <c r="K56" s="13" t="s">
        <v>328</v>
      </c>
    </row>
    <row r="57" spans="1:11" ht="28" x14ac:dyDescent="0.3">
      <c r="A57" s="27" t="str">
        <f>IF(F57="00","General"&amp;INDEX(问题代码结构!$B$12:$B$20,MATCH($E57,问题代码结构!$C$12:$C$20,0)),D57&amp;F57)</f>
        <v>0111</v>
      </c>
      <c r="B57" s="24" t="str">
        <f t="shared" si="0"/>
        <v>学术论坛-会议杂项开支</v>
      </c>
      <c r="C57" s="8" t="str">
        <f t="shared" si="1"/>
        <v>MN011102</v>
      </c>
      <c r="D57" s="13" t="s">
        <v>295</v>
      </c>
      <c r="E57" s="13" t="s">
        <v>430</v>
      </c>
      <c r="F57" s="13" t="s">
        <v>305</v>
      </c>
      <c r="G57" s="13" t="s">
        <v>441</v>
      </c>
      <c r="H57" s="13" t="s">
        <v>296</v>
      </c>
      <c r="I57" s="13" t="s">
        <v>394</v>
      </c>
      <c r="J57" s="13" t="s">
        <v>395</v>
      </c>
      <c r="K57" s="13" t="s">
        <v>396</v>
      </c>
    </row>
    <row r="58" spans="1:11" ht="28" x14ac:dyDescent="0.3">
      <c r="A58" s="27" t="str">
        <f>IF(F58="00","General"&amp;INDEX(问题代码结构!$B$12:$B$20,MATCH($E58,问题代码结构!$C$12:$C$20,0)),D58&amp;F58)</f>
        <v>0201</v>
      </c>
      <c r="B58" s="24" t="str">
        <f t="shared" si="0"/>
        <v>患者教育-会议讲课费</v>
      </c>
      <c r="C58" s="8" t="str">
        <f t="shared" si="1"/>
        <v>MN020101</v>
      </c>
      <c r="D58" s="13" t="s">
        <v>296</v>
      </c>
      <c r="E58" s="13" t="s">
        <v>442</v>
      </c>
      <c r="F58" s="13" t="s">
        <v>295</v>
      </c>
      <c r="G58" s="13" t="s">
        <v>431</v>
      </c>
      <c r="H58" s="13" t="s">
        <v>295</v>
      </c>
      <c r="I58" s="13" t="s">
        <v>360</v>
      </c>
      <c r="J58" s="13" t="s">
        <v>361</v>
      </c>
      <c r="K58" s="13" t="s">
        <v>362</v>
      </c>
    </row>
    <row r="59" spans="1:11" ht="28" x14ac:dyDescent="0.3">
      <c r="A59" s="27" t="str">
        <f>IF(F59="00","General"&amp;INDEX(问题代码结构!$B$12:$B$20,MATCH($E59,问题代码结构!$C$12:$C$20,0)),D59&amp;F59)</f>
        <v>0201</v>
      </c>
      <c r="B59" s="24" t="str">
        <f t="shared" si="0"/>
        <v>患者教育-会议讲课费</v>
      </c>
      <c r="C59" s="8" t="str">
        <f t="shared" si="1"/>
        <v>MN020102</v>
      </c>
      <c r="D59" s="13" t="s">
        <v>296</v>
      </c>
      <c r="E59" s="13" t="s">
        <v>442</v>
      </c>
      <c r="F59" s="13" t="s">
        <v>295</v>
      </c>
      <c r="G59" s="13" t="s">
        <v>431</v>
      </c>
      <c r="H59" s="13" t="s">
        <v>296</v>
      </c>
      <c r="I59" s="13" t="s">
        <v>363</v>
      </c>
      <c r="J59" s="13" t="s">
        <v>364</v>
      </c>
      <c r="K59" s="13" t="s">
        <v>328</v>
      </c>
    </row>
    <row r="60" spans="1:11" ht="28" x14ac:dyDescent="0.3">
      <c r="A60" s="27" t="str">
        <f>IF(F60="00","General"&amp;INDEX(问题代码结构!$B$12:$B$20,MATCH($E60,问题代码结构!$C$12:$C$20,0)),D60&amp;F60)</f>
        <v>0201</v>
      </c>
      <c r="B60" s="24" t="str">
        <f t="shared" si="0"/>
        <v>患者教育-会议讲课费</v>
      </c>
      <c r="C60" s="8" t="str">
        <f t="shared" si="1"/>
        <v>MN020103</v>
      </c>
      <c r="D60" s="13" t="s">
        <v>296</v>
      </c>
      <c r="E60" s="13" t="s">
        <v>442</v>
      </c>
      <c r="F60" s="13" t="s">
        <v>295</v>
      </c>
      <c r="G60" s="13" t="s">
        <v>431</v>
      </c>
      <c r="H60" s="13" t="s">
        <v>297</v>
      </c>
      <c r="I60" s="13" t="s">
        <v>365</v>
      </c>
      <c r="J60" s="13" t="s">
        <v>366</v>
      </c>
      <c r="K60" s="13" t="s">
        <v>367</v>
      </c>
    </row>
    <row r="61" spans="1:11" ht="28" x14ac:dyDescent="0.3">
      <c r="A61" s="27" t="str">
        <f>IF(F61="00","General"&amp;INDEX(问题代码结构!$B$12:$B$20,MATCH($E61,问题代码结构!$C$12:$C$20,0)),D61&amp;F61)</f>
        <v>0201</v>
      </c>
      <c r="B61" s="24" t="str">
        <f t="shared" si="0"/>
        <v>患者教育-会议讲课费</v>
      </c>
      <c r="C61" s="8" t="str">
        <f t="shared" si="1"/>
        <v>MN020104</v>
      </c>
      <c r="D61" s="13" t="s">
        <v>296</v>
      </c>
      <c r="E61" s="13" t="s">
        <v>442</v>
      </c>
      <c r="F61" s="13" t="s">
        <v>295</v>
      </c>
      <c r="G61" s="13" t="s">
        <v>431</v>
      </c>
      <c r="H61" s="13" t="s">
        <v>298</v>
      </c>
      <c r="I61" s="13" t="s">
        <v>370</v>
      </c>
      <c r="J61" s="13" t="s">
        <v>371</v>
      </c>
      <c r="K61" s="13" t="s">
        <v>372</v>
      </c>
    </row>
    <row r="62" spans="1:11" ht="28" x14ac:dyDescent="0.3">
      <c r="A62" s="27" t="str">
        <f>IF(F62="00","General"&amp;INDEX(问题代码结构!$B$12:$B$20,MATCH($E62,问题代码结构!$C$12:$C$20,0)),D62&amp;F62)</f>
        <v>0201</v>
      </c>
      <c r="B62" s="24" t="str">
        <f t="shared" si="0"/>
        <v>患者教育-会议讲课费</v>
      </c>
      <c r="C62" s="8" t="str">
        <f t="shared" si="1"/>
        <v>MN020105</v>
      </c>
      <c r="D62" s="13" t="s">
        <v>296</v>
      </c>
      <c r="E62" s="13" t="s">
        <v>442</v>
      </c>
      <c r="F62" s="13" t="s">
        <v>295</v>
      </c>
      <c r="G62" s="13" t="s">
        <v>431</v>
      </c>
      <c r="H62" s="13" t="s">
        <v>299</v>
      </c>
      <c r="I62" s="13" t="s">
        <v>373</v>
      </c>
      <c r="J62" s="13" t="s">
        <v>412</v>
      </c>
      <c r="K62" s="13" t="s">
        <v>362</v>
      </c>
    </row>
    <row r="63" spans="1:11" ht="28" x14ac:dyDescent="0.3">
      <c r="A63" s="27" t="str">
        <f>IF(F63="00","General"&amp;INDEX(问题代码结构!$B$12:$B$20,MATCH($E63,问题代码结构!$C$12:$C$20,0)),D63&amp;F63)</f>
        <v>0201</v>
      </c>
      <c r="B63" s="24" t="str">
        <f t="shared" si="0"/>
        <v>患者教育-会议讲课费</v>
      </c>
      <c r="C63" s="8" t="str">
        <f t="shared" si="1"/>
        <v>MN020106</v>
      </c>
      <c r="D63" s="13" t="s">
        <v>296</v>
      </c>
      <c r="E63" s="13" t="s">
        <v>442</v>
      </c>
      <c r="F63" s="13" t="s">
        <v>295</v>
      </c>
      <c r="G63" s="13" t="s">
        <v>431</v>
      </c>
      <c r="H63" s="13" t="s">
        <v>300</v>
      </c>
      <c r="I63" s="13" t="s">
        <v>419</v>
      </c>
      <c r="J63" s="13" t="s">
        <v>420</v>
      </c>
      <c r="K63" s="13" t="s">
        <v>362</v>
      </c>
    </row>
    <row r="64" spans="1:11" ht="28" x14ac:dyDescent="0.3">
      <c r="A64" s="27" t="str">
        <f>IF(F64="00","General"&amp;INDEX(问题代码结构!$B$12:$B$20,MATCH($E64,问题代码结构!$C$12:$C$20,0)),D64&amp;F64)</f>
        <v>0201</v>
      </c>
      <c r="B64" s="24" t="str">
        <f t="shared" si="0"/>
        <v>患者教育-会议讲课费</v>
      </c>
      <c r="C64" s="8" t="str">
        <f t="shared" si="1"/>
        <v>MN020107</v>
      </c>
      <c r="D64" s="13" t="s">
        <v>296</v>
      </c>
      <c r="E64" s="13" t="s">
        <v>442</v>
      </c>
      <c r="F64" s="13" t="s">
        <v>295</v>
      </c>
      <c r="G64" s="13" t="s">
        <v>431</v>
      </c>
      <c r="H64" s="13" t="s">
        <v>301</v>
      </c>
      <c r="I64" s="13" t="s">
        <v>421</v>
      </c>
      <c r="J64" s="13" t="s">
        <v>422</v>
      </c>
      <c r="K64" s="13" t="s">
        <v>362</v>
      </c>
    </row>
    <row r="65" spans="1:11" ht="28" x14ac:dyDescent="0.3">
      <c r="A65" s="27" t="str">
        <f>IF(F65="00","General"&amp;INDEX(问题代码结构!$B$12:$B$20,MATCH($E65,问题代码结构!$C$12:$C$20,0)),D65&amp;F65)</f>
        <v>0201</v>
      </c>
      <c r="B65" s="24" t="str">
        <f t="shared" si="0"/>
        <v>患者教育-会议讲课费</v>
      </c>
      <c r="C65" s="8" t="str">
        <f t="shared" si="1"/>
        <v>MN020108</v>
      </c>
      <c r="D65" s="13" t="s">
        <v>296</v>
      </c>
      <c r="E65" s="13" t="s">
        <v>442</v>
      </c>
      <c r="F65" s="13" t="s">
        <v>295</v>
      </c>
      <c r="G65" s="13" t="s">
        <v>431</v>
      </c>
      <c r="H65" s="13" t="s">
        <v>302</v>
      </c>
      <c r="I65" s="13" t="s">
        <v>423</v>
      </c>
      <c r="J65" s="13" t="s">
        <v>424</v>
      </c>
      <c r="K65" s="13" t="s">
        <v>362</v>
      </c>
    </row>
    <row r="66" spans="1:11" ht="28" x14ac:dyDescent="0.3">
      <c r="A66" s="27" t="str">
        <f>IF(F66="00","General"&amp;INDEX(问题代码结构!$B$12:$B$20,MATCH($E66,问题代码结构!$C$12:$C$20,0)),D66&amp;F66)</f>
        <v>0201</v>
      </c>
      <c r="B66" s="24" t="str">
        <f t="shared" si="0"/>
        <v>患者教育-会议讲课费</v>
      </c>
      <c r="C66" s="8" t="str">
        <f t="shared" si="1"/>
        <v>MN020109</v>
      </c>
      <c r="D66" s="13" t="s">
        <v>296</v>
      </c>
      <c r="E66" s="13" t="s">
        <v>442</v>
      </c>
      <c r="F66" s="13" t="s">
        <v>295</v>
      </c>
      <c r="G66" s="13" t="s">
        <v>431</v>
      </c>
      <c r="H66" s="13" t="s">
        <v>303</v>
      </c>
      <c r="I66" s="13" t="s">
        <v>392</v>
      </c>
      <c r="J66" s="13" t="s">
        <v>393</v>
      </c>
      <c r="K66" s="13" t="s">
        <v>328</v>
      </c>
    </row>
    <row r="67" spans="1:11" ht="28" x14ac:dyDescent="0.3">
      <c r="A67" s="27" t="str">
        <f>IF(F67="00","General"&amp;INDEX(问题代码结构!$B$12:$B$20,MATCH($E67,问题代码结构!$C$12:$C$20,0)),D67&amp;F67)</f>
        <v>0201</v>
      </c>
      <c r="B67" s="24" t="str">
        <f t="shared" ref="B67:B130" si="2">E67&amp;"-"&amp;G67</f>
        <v>患者教育-会议讲课费</v>
      </c>
      <c r="C67" s="8" t="str">
        <f t="shared" ref="C67:C130" si="3">"MN"&amp;D67&amp;F67&amp;H67</f>
        <v>MN020110</v>
      </c>
      <c r="D67" s="13" t="s">
        <v>296</v>
      </c>
      <c r="E67" s="13" t="s">
        <v>442</v>
      </c>
      <c r="F67" s="13" t="s">
        <v>295</v>
      </c>
      <c r="G67" s="13" t="s">
        <v>431</v>
      </c>
      <c r="H67" s="13" t="s">
        <v>304</v>
      </c>
      <c r="I67" s="13" t="s">
        <v>394</v>
      </c>
      <c r="J67" s="13" t="s">
        <v>395</v>
      </c>
      <c r="K67" s="13" t="s">
        <v>396</v>
      </c>
    </row>
    <row r="68" spans="1:11" ht="28" x14ac:dyDescent="0.3">
      <c r="A68" s="27" t="str">
        <f>IF(F68="00","General"&amp;INDEX(问题代码结构!$B$12:$B$20,MATCH($E68,问题代码结构!$C$12:$C$20,0)),D68&amp;F68)</f>
        <v>General02</v>
      </c>
      <c r="B68" s="24" t="str">
        <f t="shared" si="2"/>
        <v>患者教育-通用</v>
      </c>
      <c r="C68" s="8" t="str">
        <f t="shared" si="3"/>
        <v>MN020001</v>
      </c>
      <c r="D68" s="13" t="s">
        <v>296</v>
      </c>
      <c r="E68" s="13" t="s">
        <v>442</v>
      </c>
      <c r="F68" s="25" t="s">
        <v>568</v>
      </c>
      <c r="G68" s="26" t="s">
        <v>570</v>
      </c>
      <c r="H68" s="13" t="s">
        <v>295</v>
      </c>
      <c r="I68" s="13" t="s">
        <v>494</v>
      </c>
      <c r="J68" s="13" t="s">
        <v>409</v>
      </c>
      <c r="K68" s="13" t="s">
        <v>326</v>
      </c>
    </row>
    <row r="69" spans="1:11" ht="28" x14ac:dyDescent="0.3">
      <c r="A69" s="27" t="str">
        <f>IF(F69="00","General"&amp;INDEX(问题代码结构!$B$12:$B$20,MATCH($E69,问题代码结构!$C$12:$C$20,0)),D69&amp;F69)</f>
        <v>General02</v>
      </c>
      <c r="B69" s="24" t="str">
        <f t="shared" si="2"/>
        <v>患者教育-通用</v>
      </c>
      <c r="C69" s="8" t="str">
        <f t="shared" si="3"/>
        <v>MN020002</v>
      </c>
      <c r="D69" s="13" t="s">
        <v>296</v>
      </c>
      <c r="E69" s="13" t="s">
        <v>442</v>
      </c>
      <c r="F69" s="25" t="s">
        <v>568</v>
      </c>
      <c r="G69" s="26" t="s">
        <v>570</v>
      </c>
      <c r="H69" s="13" t="s">
        <v>296</v>
      </c>
      <c r="I69" s="13" t="s">
        <v>495</v>
      </c>
      <c r="J69" s="13" t="s">
        <v>410</v>
      </c>
      <c r="K69" s="13" t="s">
        <v>326</v>
      </c>
    </row>
    <row r="70" spans="1:11" ht="28" x14ac:dyDescent="0.3">
      <c r="A70" s="27" t="str">
        <f>IF(F70="00","General"&amp;INDEX(问题代码结构!$B$12:$B$20,MATCH($E70,问题代码结构!$C$12:$C$20,0)),D70&amp;F70)</f>
        <v>General02</v>
      </c>
      <c r="B70" s="24" t="str">
        <f t="shared" si="2"/>
        <v>患者教育-通用</v>
      </c>
      <c r="C70" s="8" t="str">
        <f t="shared" si="3"/>
        <v>MN020003</v>
      </c>
      <c r="D70" s="13" t="s">
        <v>296</v>
      </c>
      <c r="E70" s="13" t="s">
        <v>442</v>
      </c>
      <c r="F70" s="25" t="s">
        <v>568</v>
      </c>
      <c r="G70" s="26" t="s">
        <v>570</v>
      </c>
      <c r="H70" s="13" t="s">
        <v>297</v>
      </c>
      <c r="I70" s="13" t="s">
        <v>496</v>
      </c>
      <c r="J70" s="13" t="s">
        <v>411</v>
      </c>
      <c r="K70" s="13" t="s">
        <v>326</v>
      </c>
    </row>
    <row r="71" spans="1:11" ht="28" x14ac:dyDescent="0.3">
      <c r="A71" s="27" t="str">
        <f>IF(F71="00","General"&amp;INDEX(问题代码结构!$B$12:$B$20,MATCH($E71,问题代码结构!$C$12:$C$20,0)),D71&amp;F71)</f>
        <v>General02</v>
      </c>
      <c r="B71" s="24" t="str">
        <f t="shared" si="2"/>
        <v>患者教育-通用</v>
      </c>
      <c r="C71" s="8" t="str">
        <f t="shared" si="3"/>
        <v>MN020004</v>
      </c>
      <c r="D71" s="13" t="s">
        <v>296</v>
      </c>
      <c r="E71" s="13" t="s">
        <v>442</v>
      </c>
      <c r="F71" s="25" t="s">
        <v>568</v>
      </c>
      <c r="G71" s="26" t="s">
        <v>570</v>
      </c>
      <c r="H71" s="13" t="s">
        <v>298</v>
      </c>
      <c r="I71" s="13" t="s">
        <v>474</v>
      </c>
      <c r="J71" s="13" t="s">
        <v>327</v>
      </c>
      <c r="K71" s="13" t="s">
        <v>328</v>
      </c>
    </row>
    <row r="72" spans="1:11" x14ac:dyDescent="0.3">
      <c r="A72" s="27" t="str">
        <f>IF(F72="00","General"&amp;INDEX(问题代码结构!$B$12:$B$20,MATCH($E72,问题代码结构!$C$12:$C$20,0)),D72&amp;F72)</f>
        <v>General02</v>
      </c>
      <c r="B72" s="24" t="str">
        <f t="shared" si="2"/>
        <v>患者教育-通用</v>
      </c>
      <c r="C72" s="8" t="str">
        <f t="shared" si="3"/>
        <v>MN020005</v>
      </c>
      <c r="D72" s="13" t="s">
        <v>296</v>
      </c>
      <c r="E72" s="13" t="s">
        <v>442</v>
      </c>
      <c r="F72" s="25" t="s">
        <v>568</v>
      </c>
      <c r="G72" s="26" t="s">
        <v>570</v>
      </c>
      <c r="H72" s="13" t="s">
        <v>299</v>
      </c>
      <c r="I72" s="13" t="s">
        <v>475</v>
      </c>
      <c r="J72" s="13" t="s">
        <v>329</v>
      </c>
      <c r="K72" s="13" t="s">
        <v>330</v>
      </c>
    </row>
    <row r="73" spans="1:11" ht="28" x14ac:dyDescent="0.3">
      <c r="A73" s="27" t="str">
        <f>IF(F73="00","General"&amp;INDEX(问题代码结构!$B$12:$B$20,MATCH($E73,问题代码结构!$C$12:$C$20,0)),D73&amp;F73)</f>
        <v>General02</v>
      </c>
      <c r="B73" s="24" t="str">
        <f t="shared" si="2"/>
        <v>患者教育-通用</v>
      </c>
      <c r="C73" s="8" t="str">
        <f t="shared" si="3"/>
        <v>MN020006</v>
      </c>
      <c r="D73" s="13" t="s">
        <v>296</v>
      </c>
      <c r="E73" s="13" t="s">
        <v>442</v>
      </c>
      <c r="F73" s="25" t="s">
        <v>568</v>
      </c>
      <c r="G73" s="26" t="s">
        <v>570</v>
      </c>
      <c r="H73" s="13" t="s">
        <v>300</v>
      </c>
      <c r="I73" s="13" t="s">
        <v>476</v>
      </c>
      <c r="J73" s="13" t="s">
        <v>331</v>
      </c>
      <c r="K73" s="13" t="s">
        <v>332</v>
      </c>
    </row>
    <row r="74" spans="1:11" x14ac:dyDescent="0.3">
      <c r="A74" s="27" t="str">
        <f>IF(F74="00","General"&amp;INDEX(问题代码结构!$B$12:$B$20,MATCH($E74,问题代码结构!$C$12:$C$20,0)),D74&amp;F74)</f>
        <v>General02</v>
      </c>
      <c r="B74" s="24" t="str">
        <f t="shared" si="2"/>
        <v>患者教育-通用</v>
      </c>
      <c r="C74" s="8" t="str">
        <f t="shared" si="3"/>
        <v>MN020007</v>
      </c>
      <c r="D74" s="13" t="s">
        <v>296</v>
      </c>
      <c r="E74" s="13" t="s">
        <v>442</v>
      </c>
      <c r="F74" s="25" t="s">
        <v>568</v>
      </c>
      <c r="G74" s="26" t="s">
        <v>570</v>
      </c>
      <c r="H74" s="13" t="s">
        <v>301</v>
      </c>
      <c r="I74" s="13" t="s">
        <v>477</v>
      </c>
      <c r="J74" s="13" t="s">
        <v>412</v>
      </c>
      <c r="K74" s="13" t="s">
        <v>334</v>
      </c>
    </row>
    <row r="75" spans="1:11" ht="28" x14ac:dyDescent="0.3">
      <c r="A75" s="27" t="str">
        <f>IF(F75="00","General"&amp;INDEX(问题代码结构!$B$12:$B$20,MATCH($E75,问题代码结构!$C$12:$C$20,0)),D75&amp;F75)</f>
        <v>General02</v>
      </c>
      <c r="B75" s="24" t="str">
        <f t="shared" si="2"/>
        <v>患者教育-通用</v>
      </c>
      <c r="C75" s="8" t="str">
        <f t="shared" si="3"/>
        <v>MN020008</v>
      </c>
      <c r="D75" s="13" t="s">
        <v>296</v>
      </c>
      <c r="E75" s="13" t="s">
        <v>442</v>
      </c>
      <c r="F75" s="25" t="s">
        <v>568</v>
      </c>
      <c r="G75" s="26" t="s">
        <v>570</v>
      </c>
      <c r="H75" s="13" t="s">
        <v>302</v>
      </c>
      <c r="I75" s="13" t="s">
        <v>478</v>
      </c>
      <c r="J75" s="13" t="s">
        <v>335</v>
      </c>
      <c r="K75" s="13" t="s">
        <v>328</v>
      </c>
    </row>
    <row r="76" spans="1:11" ht="28" x14ac:dyDescent="0.3">
      <c r="A76" s="27" t="str">
        <f>IF(F76="00","General"&amp;INDEX(问题代码结构!$B$12:$B$20,MATCH($E76,问题代码结构!$C$12:$C$20,0)),D76&amp;F76)</f>
        <v>General02</v>
      </c>
      <c r="B76" s="24" t="str">
        <f t="shared" si="2"/>
        <v>患者教育-通用</v>
      </c>
      <c r="C76" s="8" t="str">
        <f t="shared" si="3"/>
        <v>MN020009</v>
      </c>
      <c r="D76" s="13" t="s">
        <v>296</v>
      </c>
      <c r="E76" s="13" t="s">
        <v>442</v>
      </c>
      <c r="F76" s="25" t="s">
        <v>568</v>
      </c>
      <c r="G76" s="26" t="s">
        <v>570</v>
      </c>
      <c r="H76" s="13" t="s">
        <v>303</v>
      </c>
      <c r="I76" s="13" t="s">
        <v>479</v>
      </c>
      <c r="J76" s="13" t="s">
        <v>336</v>
      </c>
      <c r="K76" s="13" t="s">
        <v>337</v>
      </c>
    </row>
    <row r="77" spans="1:11" ht="42" x14ac:dyDescent="0.3">
      <c r="A77" s="27" t="str">
        <f>IF(F77="00","General"&amp;INDEX(问题代码结构!$B$12:$B$20,MATCH($E77,问题代码结构!$C$12:$C$20,0)),D77&amp;F77)</f>
        <v>General02</v>
      </c>
      <c r="B77" s="24" t="str">
        <f t="shared" si="2"/>
        <v>患者教育-通用</v>
      </c>
      <c r="C77" s="8" t="str">
        <f t="shared" si="3"/>
        <v>MN020010</v>
      </c>
      <c r="D77" s="13" t="s">
        <v>296</v>
      </c>
      <c r="E77" s="13" t="s">
        <v>442</v>
      </c>
      <c r="F77" s="25" t="s">
        <v>568</v>
      </c>
      <c r="G77" s="26" t="s">
        <v>570</v>
      </c>
      <c r="H77" s="13" t="s">
        <v>304</v>
      </c>
      <c r="I77" s="13" t="s">
        <v>480</v>
      </c>
      <c r="J77" s="13" t="s">
        <v>338</v>
      </c>
      <c r="K77" s="13" t="s">
        <v>337</v>
      </c>
    </row>
    <row r="78" spans="1:11" x14ac:dyDescent="0.3">
      <c r="A78" s="27" t="str">
        <f>IF(F78="00","General"&amp;INDEX(问题代码结构!$B$12:$B$20,MATCH($E78,问题代码结构!$C$12:$C$20,0)),D78&amp;F78)</f>
        <v>General02</v>
      </c>
      <c r="B78" s="24" t="str">
        <f t="shared" si="2"/>
        <v>患者教育-通用</v>
      </c>
      <c r="C78" s="8" t="str">
        <f t="shared" si="3"/>
        <v>MN020011</v>
      </c>
      <c r="D78" s="13" t="s">
        <v>296</v>
      </c>
      <c r="E78" s="13" t="s">
        <v>442</v>
      </c>
      <c r="F78" s="25" t="s">
        <v>568</v>
      </c>
      <c r="G78" s="26" t="s">
        <v>570</v>
      </c>
      <c r="H78" s="13" t="s">
        <v>305</v>
      </c>
      <c r="I78" s="13" t="s">
        <v>481</v>
      </c>
      <c r="J78" s="13" t="s">
        <v>339</v>
      </c>
      <c r="K78" s="13" t="s">
        <v>340</v>
      </c>
    </row>
    <row r="79" spans="1:11" ht="28" x14ac:dyDescent="0.3">
      <c r="A79" s="27" t="str">
        <f>IF(F79="00","General"&amp;INDEX(问题代码结构!$B$12:$B$20,MATCH($E79,问题代码结构!$C$12:$C$20,0)),D79&amp;F79)</f>
        <v>General02</v>
      </c>
      <c r="B79" s="24" t="str">
        <f t="shared" si="2"/>
        <v>患者教育-通用</v>
      </c>
      <c r="C79" s="8" t="str">
        <f t="shared" si="3"/>
        <v>MN020012</v>
      </c>
      <c r="D79" s="13" t="s">
        <v>296</v>
      </c>
      <c r="E79" s="13" t="s">
        <v>442</v>
      </c>
      <c r="F79" s="25" t="s">
        <v>568</v>
      </c>
      <c r="G79" s="26" t="s">
        <v>570</v>
      </c>
      <c r="H79" s="13" t="s">
        <v>306</v>
      </c>
      <c r="I79" s="13" t="s">
        <v>482</v>
      </c>
      <c r="J79" s="13" t="s">
        <v>341</v>
      </c>
      <c r="K79" s="13" t="s">
        <v>328</v>
      </c>
    </row>
    <row r="80" spans="1:11" x14ac:dyDescent="0.3">
      <c r="A80" s="27" t="str">
        <f>IF(F80="00","General"&amp;INDEX(问题代码结构!$B$12:$B$20,MATCH($E80,问题代码结构!$C$12:$C$20,0)),D80&amp;F80)</f>
        <v>General02</v>
      </c>
      <c r="B80" s="24" t="str">
        <f t="shared" si="2"/>
        <v>患者教育-通用</v>
      </c>
      <c r="C80" s="8" t="str">
        <f t="shared" si="3"/>
        <v>MN020013</v>
      </c>
      <c r="D80" s="13" t="s">
        <v>296</v>
      </c>
      <c r="E80" s="13" t="s">
        <v>442</v>
      </c>
      <c r="F80" s="25" t="s">
        <v>568</v>
      </c>
      <c r="G80" s="26" t="s">
        <v>570</v>
      </c>
      <c r="H80" s="13" t="s">
        <v>307</v>
      </c>
      <c r="I80" s="13" t="s">
        <v>483</v>
      </c>
      <c r="J80" s="13" t="s">
        <v>342</v>
      </c>
      <c r="K80" s="13" t="s">
        <v>343</v>
      </c>
    </row>
    <row r="81" spans="1:11" ht="42" x14ac:dyDescent="0.3">
      <c r="A81" s="27" t="str">
        <f>IF(F81="00","General"&amp;INDEX(问题代码结构!$B$12:$B$20,MATCH($E81,问题代码结构!$C$12:$C$20,0)),D81&amp;F81)</f>
        <v>General02</v>
      </c>
      <c r="B81" s="24" t="str">
        <f t="shared" si="2"/>
        <v>患者教育-通用</v>
      </c>
      <c r="C81" s="8" t="str">
        <f t="shared" si="3"/>
        <v>MN020014</v>
      </c>
      <c r="D81" s="13" t="s">
        <v>296</v>
      </c>
      <c r="E81" s="13" t="s">
        <v>442</v>
      </c>
      <c r="F81" s="25" t="s">
        <v>568</v>
      </c>
      <c r="G81" s="26" t="s">
        <v>570</v>
      </c>
      <c r="H81" s="13" t="s">
        <v>308</v>
      </c>
      <c r="I81" s="13" t="s">
        <v>484</v>
      </c>
      <c r="J81" s="13" t="s">
        <v>344</v>
      </c>
      <c r="K81" s="13" t="s">
        <v>345</v>
      </c>
    </row>
    <row r="82" spans="1:11" ht="28" x14ac:dyDescent="0.3">
      <c r="A82" s="27" t="str">
        <f>IF(F82="00","General"&amp;INDEX(问题代码结构!$B$12:$B$20,MATCH($E82,问题代码结构!$C$12:$C$20,0)),D82&amp;F82)</f>
        <v>General02</v>
      </c>
      <c r="B82" s="24" t="str">
        <f t="shared" si="2"/>
        <v>患者教育-通用</v>
      </c>
      <c r="C82" s="8" t="str">
        <f t="shared" si="3"/>
        <v>MN020015</v>
      </c>
      <c r="D82" s="13" t="s">
        <v>296</v>
      </c>
      <c r="E82" s="13" t="s">
        <v>442</v>
      </c>
      <c r="F82" s="25" t="s">
        <v>568</v>
      </c>
      <c r="G82" s="26" t="s">
        <v>570</v>
      </c>
      <c r="H82" s="13" t="s">
        <v>309</v>
      </c>
      <c r="I82" s="13" t="s">
        <v>497</v>
      </c>
      <c r="J82" s="13" t="s">
        <v>413</v>
      </c>
      <c r="K82" s="13" t="s">
        <v>347</v>
      </c>
    </row>
    <row r="83" spans="1:11" ht="28" x14ac:dyDescent="0.3">
      <c r="A83" s="27" t="str">
        <f>IF(F83="00","General"&amp;INDEX(问题代码结构!$B$12:$B$20,MATCH($E83,问题代码结构!$C$12:$C$20,0)),D83&amp;F83)</f>
        <v>General02</v>
      </c>
      <c r="B83" s="24" t="str">
        <f t="shared" si="2"/>
        <v>患者教育-通用</v>
      </c>
      <c r="C83" s="8" t="str">
        <f t="shared" si="3"/>
        <v>MN020016</v>
      </c>
      <c r="D83" s="13" t="s">
        <v>296</v>
      </c>
      <c r="E83" s="13" t="s">
        <v>442</v>
      </c>
      <c r="F83" s="25" t="s">
        <v>568</v>
      </c>
      <c r="G83" s="26" t="s">
        <v>570</v>
      </c>
      <c r="H83" s="13" t="s">
        <v>310</v>
      </c>
      <c r="I83" s="13" t="s">
        <v>486</v>
      </c>
      <c r="J83" s="13" t="s">
        <v>348</v>
      </c>
      <c r="K83" s="13" t="s">
        <v>347</v>
      </c>
    </row>
    <row r="84" spans="1:11" ht="42" x14ac:dyDescent="0.3">
      <c r="A84" s="27" t="str">
        <f>IF(F84="00","General"&amp;INDEX(问题代码结构!$B$12:$B$20,MATCH($E84,问题代码结构!$C$12:$C$20,0)),D84&amp;F84)</f>
        <v>General02</v>
      </c>
      <c r="B84" s="24" t="str">
        <f t="shared" si="2"/>
        <v>患者教育-通用</v>
      </c>
      <c r="C84" s="8" t="str">
        <f t="shared" si="3"/>
        <v>MN020017</v>
      </c>
      <c r="D84" s="13" t="s">
        <v>296</v>
      </c>
      <c r="E84" s="13" t="s">
        <v>442</v>
      </c>
      <c r="F84" s="25" t="s">
        <v>568</v>
      </c>
      <c r="G84" s="26" t="s">
        <v>570</v>
      </c>
      <c r="H84" s="13" t="s">
        <v>311</v>
      </c>
      <c r="I84" s="13" t="s">
        <v>487</v>
      </c>
      <c r="J84" s="13" t="s">
        <v>349</v>
      </c>
      <c r="K84" s="13" t="s">
        <v>347</v>
      </c>
    </row>
    <row r="85" spans="1:11" x14ac:dyDescent="0.3">
      <c r="A85" s="27" t="str">
        <f>IF(F85="00","General"&amp;INDEX(问题代码结构!$B$12:$B$20,MATCH($E85,问题代码结构!$C$12:$C$20,0)),D85&amp;F85)</f>
        <v>General02</v>
      </c>
      <c r="B85" s="24" t="str">
        <f t="shared" si="2"/>
        <v>患者教育-通用</v>
      </c>
      <c r="C85" s="8" t="str">
        <f t="shared" si="3"/>
        <v>MN020018</v>
      </c>
      <c r="D85" s="13" t="s">
        <v>296</v>
      </c>
      <c r="E85" s="13" t="s">
        <v>442</v>
      </c>
      <c r="F85" s="25" t="s">
        <v>568</v>
      </c>
      <c r="G85" s="26" t="s">
        <v>570</v>
      </c>
      <c r="H85" s="13" t="s">
        <v>312</v>
      </c>
      <c r="I85" s="13" t="s">
        <v>488</v>
      </c>
      <c r="J85" s="13" t="s">
        <v>350</v>
      </c>
      <c r="K85" s="13" t="s">
        <v>347</v>
      </c>
    </row>
    <row r="86" spans="1:11" ht="28" x14ac:dyDescent="0.3">
      <c r="A86" s="27" t="str">
        <f>IF(F86="00","General"&amp;INDEX(问题代码结构!$B$12:$B$20,MATCH($E86,问题代码结构!$C$12:$C$20,0)),D86&amp;F86)</f>
        <v>General02</v>
      </c>
      <c r="B86" s="24" t="str">
        <f t="shared" si="2"/>
        <v>患者教育-通用</v>
      </c>
      <c r="C86" s="8" t="str">
        <f t="shared" si="3"/>
        <v>MN020019</v>
      </c>
      <c r="D86" s="13" t="s">
        <v>296</v>
      </c>
      <c r="E86" s="13" t="s">
        <v>442</v>
      </c>
      <c r="F86" s="25" t="s">
        <v>568</v>
      </c>
      <c r="G86" s="26" t="s">
        <v>570</v>
      </c>
      <c r="H86" s="13" t="s">
        <v>313</v>
      </c>
      <c r="I86" s="13" t="s">
        <v>498</v>
      </c>
      <c r="J86" s="13" t="s">
        <v>414</v>
      </c>
      <c r="K86" s="13" t="s">
        <v>347</v>
      </c>
    </row>
    <row r="87" spans="1:11" ht="28" x14ac:dyDescent="0.3">
      <c r="A87" s="27" t="str">
        <f>IF(F87="00","General"&amp;INDEX(问题代码结构!$B$12:$B$20,MATCH($E87,问题代码结构!$C$12:$C$20,0)),D87&amp;F87)</f>
        <v>General02</v>
      </c>
      <c r="B87" s="24" t="str">
        <f t="shared" si="2"/>
        <v>患者教育-通用</v>
      </c>
      <c r="C87" s="8" t="str">
        <f t="shared" si="3"/>
        <v>MN020020</v>
      </c>
      <c r="D87" s="13" t="s">
        <v>296</v>
      </c>
      <c r="E87" s="13" t="s">
        <v>442</v>
      </c>
      <c r="F87" s="25" t="s">
        <v>568</v>
      </c>
      <c r="G87" s="26" t="s">
        <v>570</v>
      </c>
      <c r="H87" s="13" t="s">
        <v>314</v>
      </c>
      <c r="I87" s="13" t="s">
        <v>499</v>
      </c>
      <c r="J87" s="13" t="s">
        <v>415</v>
      </c>
      <c r="K87" s="13" t="s">
        <v>347</v>
      </c>
    </row>
    <row r="88" spans="1:11" x14ac:dyDescent="0.3">
      <c r="A88" s="27" t="str">
        <f>IF(F88="00","General"&amp;INDEX(问题代码结构!$B$12:$B$20,MATCH($E88,问题代码结构!$C$12:$C$20,0)),D88&amp;F88)</f>
        <v>General02</v>
      </c>
      <c r="B88" s="24" t="str">
        <f t="shared" si="2"/>
        <v>患者教育-通用</v>
      </c>
      <c r="C88" s="8" t="str">
        <f t="shared" si="3"/>
        <v>MN020021</v>
      </c>
      <c r="D88" s="13" t="s">
        <v>296</v>
      </c>
      <c r="E88" s="13" t="s">
        <v>442</v>
      </c>
      <c r="F88" s="25" t="s">
        <v>568</v>
      </c>
      <c r="G88" s="26" t="s">
        <v>570</v>
      </c>
      <c r="H88" s="13" t="s">
        <v>315</v>
      </c>
      <c r="I88" s="13" t="s">
        <v>490</v>
      </c>
      <c r="J88" s="13" t="s">
        <v>416</v>
      </c>
      <c r="K88" s="13" t="s">
        <v>353</v>
      </c>
    </row>
    <row r="89" spans="1:11" x14ac:dyDescent="0.3">
      <c r="A89" s="27" t="str">
        <f>IF(F89="00","General"&amp;INDEX(问题代码结构!$B$12:$B$20,MATCH($E89,问题代码结构!$C$12:$C$20,0)),D89&amp;F89)</f>
        <v>General02</v>
      </c>
      <c r="B89" s="24" t="str">
        <f t="shared" si="2"/>
        <v>患者教育-通用</v>
      </c>
      <c r="C89" s="8" t="str">
        <f t="shared" si="3"/>
        <v>MN020022</v>
      </c>
      <c r="D89" s="13" t="s">
        <v>296</v>
      </c>
      <c r="E89" s="13" t="s">
        <v>442</v>
      </c>
      <c r="F89" s="25" t="s">
        <v>568</v>
      </c>
      <c r="G89" s="26" t="s">
        <v>570</v>
      </c>
      <c r="H89" s="13" t="s">
        <v>316</v>
      </c>
      <c r="I89" s="13" t="s">
        <v>491</v>
      </c>
      <c r="J89" s="13" t="s">
        <v>417</v>
      </c>
      <c r="K89" s="13" t="s">
        <v>355</v>
      </c>
    </row>
    <row r="90" spans="1:11" ht="42" x14ac:dyDescent="0.3">
      <c r="A90" s="27" t="str">
        <f>IF(F90="00","General"&amp;INDEX(问题代码结构!$B$12:$B$20,MATCH($E90,问题代码结构!$C$12:$C$20,0)),D90&amp;F90)</f>
        <v>General02</v>
      </c>
      <c r="B90" s="24" t="str">
        <f t="shared" si="2"/>
        <v>患者教育-通用</v>
      </c>
      <c r="C90" s="8" t="str">
        <f t="shared" si="3"/>
        <v>MN020023</v>
      </c>
      <c r="D90" s="13" t="s">
        <v>296</v>
      </c>
      <c r="E90" s="13" t="s">
        <v>442</v>
      </c>
      <c r="F90" s="25" t="s">
        <v>568</v>
      </c>
      <c r="G90" s="26" t="s">
        <v>570</v>
      </c>
      <c r="H90" s="13" t="s">
        <v>317</v>
      </c>
      <c r="I90" s="13" t="s">
        <v>492</v>
      </c>
      <c r="J90" s="13" t="s">
        <v>356</v>
      </c>
      <c r="K90" s="13" t="s">
        <v>357</v>
      </c>
    </row>
    <row r="91" spans="1:11" x14ac:dyDescent="0.3">
      <c r="A91" s="27" t="str">
        <f>IF(F91="00","General"&amp;INDEX(问题代码结构!$B$12:$B$20,MATCH($E91,问题代码结构!$C$12:$C$20,0)),D91&amp;F91)</f>
        <v>General02</v>
      </c>
      <c r="B91" s="24" t="str">
        <f t="shared" si="2"/>
        <v>患者教育-通用</v>
      </c>
      <c r="C91" s="8" t="str">
        <f t="shared" si="3"/>
        <v>MN020024</v>
      </c>
      <c r="D91" s="13" t="s">
        <v>296</v>
      </c>
      <c r="E91" s="13" t="s">
        <v>442</v>
      </c>
      <c r="F91" s="25" t="s">
        <v>568</v>
      </c>
      <c r="G91" s="26" t="s">
        <v>570</v>
      </c>
      <c r="H91" s="13" t="s">
        <v>318</v>
      </c>
      <c r="I91" s="13" t="s">
        <v>493</v>
      </c>
      <c r="J91" s="13" t="s">
        <v>418</v>
      </c>
      <c r="K91" s="13" t="s">
        <v>359</v>
      </c>
    </row>
    <row r="92" spans="1:11" ht="28" x14ac:dyDescent="0.3">
      <c r="A92" s="27" t="str">
        <f>IF(F92="00","General"&amp;INDEX(问题代码结构!$B$12:$B$20,MATCH($E92,问题代码结构!$C$12:$C$20,0)),D92&amp;F92)</f>
        <v>0202</v>
      </c>
      <c r="B92" s="24" t="str">
        <f t="shared" si="2"/>
        <v>患者教育-会议餐费</v>
      </c>
      <c r="C92" s="8" t="str">
        <f t="shared" si="3"/>
        <v>MN020201</v>
      </c>
      <c r="D92" s="13" t="s">
        <v>296</v>
      </c>
      <c r="E92" s="13" t="s">
        <v>442</v>
      </c>
      <c r="F92" s="13" t="s">
        <v>296</v>
      </c>
      <c r="G92" s="13" t="s">
        <v>432</v>
      </c>
      <c r="H92" s="13" t="s">
        <v>295</v>
      </c>
      <c r="I92" s="13" t="s">
        <v>382</v>
      </c>
      <c r="J92" s="13" t="s">
        <v>383</v>
      </c>
      <c r="K92" s="13" t="s">
        <v>328</v>
      </c>
    </row>
    <row r="93" spans="1:11" ht="28" x14ac:dyDescent="0.3">
      <c r="A93" s="27" t="str">
        <f>IF(F93="00","General"&amp;INDEX(问题代码结构!$B$12:$B$20,MATCH($E93,问题代码结构!$C$12:$C$20,0)),D93&amp;F93)</f>
        <v>0202</v>
      </c>
      <c r="B93" s="24" t="str">
        <f t="shared" si="2"/>
        <v>患者教育-会议餐费</v>
      </c>
      <c r="C93" s="8" t="str">
        <f t="shared" si="3"/>
        <v>MN020202</v>
      </c>
      <c r="D93" s="13" t="s">
        <v>296</v>
      </c>
      <c r="E93" s="13" t="s">
        <v>442</v>
      </c>
      <c r="F93" s="13" t="s">
        <v>296</v>
      </c>
      <c r="G93" s="13" t="s">
        <v>432</v>
      </c>
      <c r="H93" s="13" t="s">
        <v>296</v>
      </c>
      <c r="I93" s="13" t="s">
        <v>384</v>
      </c>
      <c r="J93" s="13" t="s">
        <v>385</v>
      </c>
      <c r="K93" s="13" t="s">
        <v>386</v>
      </c>
    </row>
    <row r="94" spans="1:11" ht="28" x14ac:dyDescent="0.3">
      <c r="A94" s="27" t="str">
        <f>IF(F94="00","General"&amp;INDEX(问题代码结构!$B$12:$B$20,MATCH($E94,问题代码结构!$C$12:$C$20,0)),D94&amp;F94)</f>
        <v>0202</v>
      </c>
      <c r="B94" s="24" t="str">
        <f t="shared" si="2"/>
        <v>患者教育-会议餐费</v>
      </c>
      <c r="C94" s="8" t="str">
        <f t="shared" si="3"/>
        <v>MN020203</v>
      </c>
      <c r="D94" s="13" t="s">
        <v>296</v>
      </c>
      <c r="E94" s="13" t="s">
        <v>442</v>
      </c>
      <c r="F94" s="13" t="s">
        <v>296</v>
      </c>
      <c r="G94" s="13" t="s">
        <v>432</v>
      </c>
      <c r="H94" s="13" t="s">
        <v>297</v>
      </c>
      <c r="I94" s="13" t="s">
        <v>387</v>
      </c>
      <c r="J94" s="13" t="s">
        <v>388</v>
      </c>
      <c r="K94" s="13" t="s">
        <v>328</v>
      </c>
    </row>
    <row r="95" spans="1:11" ht="28" x14ac:dyDescent="0.3">
      <c r="A95" s="27" t="str">
        <f>IF(F95="00","General"&amp;INDEX(问题代码结构!$B$12:$B$20,MATCH($E95,问题代码结构!$C$12:$C$20,0)),D95&amp;F95)</f>
        <v>0202</v>
      </c>
      <c r="B95" s="24" t="str">
        <f t="shared" si="2"/>
        <v>患者教育-会议餐费</v>
      </c>
      <c r="C95" s="8" t="str">
        <f t="shared" si="3"/>
        <v>MN020204</v>
      </c>
      <c r="D95" s="13" t="s">
        <v>296</v>
      </c>
      <c r="E95" s="13" t="s">
        <v>442</v>
      </c>
      <c r="F95" s="13" t="s">
        <v>296</v>
      </c>
      <c r="G95" s="13" t="s">
        <v>432</v>
      </c>
      <c r="H95" s="13" t="s">
        <v>298</v>
      </c>
      <c r="I95" s="13" t="s">
        <v>389</v>
      </c>
      <c r="J95" s="13" t="s">
        <v>390</v>
      </c>
      <c r="K95" s="13" t="s">
        <v>391</v>
      </c>
    </row>
    <row r="96" spans="1:11" ht="28" x14ac:dyDescent="0.3">
      <c r="A96" s="27" t="str">
        <f>IF(F96="00","General"&amp;INDEX(问题代码结构!$B$12:$B$20,MATCH($E96,问题代码结构!$C$12:$C$20,0)),D96&amp;F96)</f>
        <v>0202</v>
      </c>
      <c r="B96" s="24" t="str">
        <f t="shared" si="2"/>
        <v>患者教育-会议餐费</v>
      </c>
      <c r="C96" s="8" t="str">
        <f t="shared" si="3"/>
        <v>MN020205</v>
      </c>
      <c r="D96" s="13" t="s">
        <v>296</v>
      </c>
      <c r="E96" s="13" t="s">
        <v>442</v>
      </c>
      <c r="F96" s="13" t="s">
        <v>296</v>
      </c>
      <c r="G96" s="13" t="s">
        <v>432</v>
      </c>
      <c r="H96" s="13" t="s">
        <v>299</v>
      </c>
      <c r="I96" s="13" t="s">
        <v>392</v>
      </c>
      <c r="J96" s="13" t="s">
        <v>393</v>
      </c>
      <c r="K96" s="13" t="s">
        <v>328</v>
      </c>
    </row>
    <row r="97" spans="1:11" ht="28" x14ac:dyDescent="0.3">
      <c r="A97" s="27" t="str">
        <f>IF(F97="00","General"&amp;INDEX(问题代码结构!$B$12:$B$20,MATCH($E97,问题代码结构!$C$12:$C$20,0)),D97&amp;F97)</f>
        <v>0202</v>
      </c>
      <c r="B97" s="24" t="str">
        <f t="shared" si="2"/>
        <v>患者教育-会议餐费</v>
      </c>
      <c r="C97" s="8" t="str">
        <f t="shared" si="3"/>
        <v>MN020206</v>
      </c>
      <c r="D97" s="13" t="s">
        <v>296</v>
      </c>
      <c r="E97" s="13" t="s">
        <v>442</v>
      </c>
      <c r="F97" s="13" t="s">
        <v>296</v>
      </c>
      <c r="G97" s="13" t="s">
        <v>432</v>
      </c>
      <c r="H97" s="13" t="s">
        <v>300</v>
      </c>
      <c r="I97" s="13" t="s">
        <v>394</v>
      </c>
      <c r="J97" s="13" t="s">
        <v>395</v>
      </c>
      <c r="K97" s="13" t="s">
        <v>396</v>
      </c>
    </row>
    <row r="98" spans="1:11" ht="28" x14ac:dyDescent="0.3">
      <c r="A98" s="27" t="str">
        <f>IF(F98="00","General"&amp;INDEX(问题代码结构!$B$12:$B$20,MATCH($E98,问题代码结构!$C$12:$C$20,0)),D98&amp;F98)</f>
        <v>0206</v>
      </c>
      <c r="B98" s="24" t="str">
        <f t="shared" si="2"/>
        <v>患者教育-会议茶歇</v>
      </c>
      <c r="C98" s="8" t="str">
        <f t="shared" si="3"/>
        <v>MN020601</v>
      </c>
      <c r="D98" s="13" t="s">
        <v>296</v>
      </c>
      <c r="E98" s="13" t="s">
        <v>442</v>
      </c>
      <c r="F98" s="13" t="s">
        <v>300</v>
      </c>
      <c r="G98" s="13" t="s">
        <v>436</v>
      </c>
      <c r="H98" s="13" t="s">
        <v>295</v>
      </c>
      <c r="I98" s="13" t="s">
        <v>403</v>
      </c>
      <c r="J98" s="13" t="s">
        <v>404</v>
      </c>
      <c r="K98" s="13" t="s">
        <v>386</v>
      </c>
    </row>
    <row r="99" spans="1:11" ht="28" x14ac:dyDescent="0.3">
      <c r="A99" s="27" t="str">
        <f>IF(F99="00","General"&amp;INDEX(问题代码结构!$B$12:$B$20,MATCH($E99,问题代码结构!$C$12:$C$20,0)),D99&amp;F99)</f>
        <v>0206</v>
      </c>
      <c r="B99" s="24" t="str">
        <f t="shared" si="2"/>
        <v>患者教育-会议茶歇</v>
      </c>
      <c r="C99" s="8" t="str">
        <f t="shared" si="3"/>
        <v>MN020602</v>
      </c>
      <c r="D99" s="13" t="s">
        <v>296</v>
      </c>
      <c r="E99" s="13" t="s">
        <v>442</v>
      </c>
      <c r="F99" s="13" t="s">
        <v>300</v>
      </c>
      <c r="G99" s="13" t="s">
        <v>436</v>
      </c>
      <c r="H99" s="13" t="s">
        <v>296</v>
      </c>
      <c r="I99" s="13" t="s">
        <v>405</v>
      </c>
      <c r="J99" s="13" t="s">
        <v>406</v>
      </c>
      <c r="K99" s="13" t="s">
        <v>328</v>
      </c>
    </row>
    <row r="100" spans="1:11" ht="28" x14ac:dyDescent="0.3">
      <c r="A100" s="27" t="str">
        <f>IF(F100="00","General"&amp;INDEX(问题代码结构!$B$12:$B$20,MATCH($E100,问题代码结构!$C$12:$C$20,0)),D100&amp;F100)</f>
        <v>0206</v>
      </c>
      <c r="B100" s="24" t="str">
        <f t="shared" si="2"/>
        <v>患者教育-会议茶歇</v>
      </c>
      <c r="C100" s="8" t="str">
        <f t="shared" si="3"/>
        <v>MN020603</v>
      </c>
      <c r="D100" s="13" t="s">
        <v>296</v>
      </c>
      <c r="E100" s="13" t="s">
        <v>442</v>
      </c>
      <c r="F100" s="13" t="s">
        <v>300</v>
      </c>
      <c r="G100" s="13" t="s">
        <v>436</v>
      </c>
      <c r="H100" s="13" t="s">
        <v>297</v>
      </c>
      <c r="I100" s="13" t="s">
        <v>392</v>
      </c>
      <c r="J100" s="13" t="s">
        <v>393</v>
      </c>
      <c r="K100" s="13" t="s">
        <v>328</v>
      </c>
    </row>
    <row r="101" spans="1:11" ht="28" x14ac:dyDescent="0.3">
      <c r="A101" s="27" t="str">
        <f>IF(F101="00","General"&amp;INDEX(问题代码结构!$B$12:$B$20,MATCH($E101,问题代码结构!$C$12:$C$20,0)),D101&amp;F101)</f>
        <v>0206</v>
      </c>
      <c r="B101" s="24" t="str">
        <f t="shared" si="2"/>
        <v>患者教育-会议茶歇</v>
      </c>
      <c r="C101" s="8" t="str">
        <f t="shared" si="3"/>
        <v>MN020604</v>
      </c>
      <c r="D101" s="13" t="s">
        <v>296</v>
      </c>
      <c r="E101" s="13" t="s">
        <v>442</v>
      </c>
      <c r="F101" s="13" t="s">
        <v>300</v>
      </c>
      <c r="G101" s="13" t="s">
        <v>436</v>
      </c>
      <c r="H101" s="13" t="s">
        <v>298</v>
      </c>
      <c r="I101" s="13" t="s">
        <v>394</v>
      </c>
      <c r="J101" s="13" t="s">
        <v>395</v>
      </c>
      <c r="K101" s="13" t="s">
        <v>396</v>
      </c>
    </row>
    <row r="102" spans="1:11" ht="28" x14ac:dyDescent="0.3">
      <c r="A102" s="27" t="str">
        <f>IF(F102="00","General"&amp;INDEX(问题代码结构!$B$12:$B$20,MATCH($E102,问题代码结构!$C$12:$C$20,0)),D102&amp;F102)</f>
        <v>0302</v>
      </c>
      <c r="B102" s="24" t="str">
        <f t="shared" si="2"/>
        <v>院内会-会议餐费</v>
      </c>
      <c r="C102" s="8" t="str">
        <f t="shared" si="3"/>
        <v>MN030201</v>
      </c>
      <c r="D102" s="13" t="s">
        <v>297</v>
      </c>
      <c r="E102" s="13" t="s">
        <v>443</v>
      </c>
      <c r="F102" s="13" t="s">
        <v>296</v>
      </c>
      <c r="G102" s="13" t="s">
        <v>432</v>
      </c>
      <c r="H102" s="13" t="s">
        <v>295</v>
      </c>
      <c r="I102" s="13" t="s">
        <v>382</v>
      </c>
      <c r="J102" s="13" t="s">
        <v>383</v>
      </c>
      <c r="K102" s="13" t="s">
        <v>328</v>
      </c>
    </row>
    <row r="103" spans="1:11" ht="28" x14ac:dyDescent="0.3">
      <c r="A103" s="27" t="str">
        <f>IF(F103="00","General"&amp;INDEX(问题代码结构!$B$12:$B$20,MATCH($E103,问题代码结构!$C$12:$C$20,0)),D103&amp;F103)</f>
        <v>0302</v>
      </c>
      <c r="B103" s="24" t="str">
        <f t="shared" si="2"/>
        <v>院内会-会议餐费</v>
      </c>
      <c r="C103" s="8" t="str">
        <f t="shared" si="3"/>
        <v>MN030202</v>
      </c>
      <c r="D103" s="13" t="s">
        <v>297</v>
      </c>
      <c r="E103" s="13" t="s">
        <v>443</v>
      </c>
      <c r="F103" s="13" t="s">
        <v>296</v>
      </c>
      <c r="G103" s="13" t="s">
        <v>432</v>
      </c>
      <c r="H103" s="13" t="s">
        <v>296</v>
      </c>
      <c r="I103" s="13" t="s">
        <v>384</v>
      </c>
      <c r="J103" s="13" t="s">
        <v>385</v>
      </c>
      <c r="K103" s="13" t="s">
        <v>386</v>
      </c>
    </row>
    <row r="104" spans="1:11" ht="42" x14ac:dyDescent="0.3">
      <c r="A104" s="27" t="str">
        <f>IF(F104="00","General"&amp;INDEX(问题代码结构!$B$12:$B$20,MATCH($E104,问题代码结构!$C$12:$C$20,0)),D104&amp;F104)</f>
        <v>0302</v>
      </c>
      <c r="B104" s="24" t="str">
        <f t="shared" si="2"/>
        <v>院内会-会议餐费</v>
      </c>
      <c r="C104" s="8" t="str">
        <f t="shared" si="3"/>
        <v>MN030203</v>
      </c>
      <c r="D104" s="13" t="s">
        <v>297</v>
      </c>
      <c r="E104" s="13" t="s">
        <v>443</v>
      </c>
      <c r="F104" s="13" t="s">
        <v>296</v>
      </c>
      <c r="G104" s="13" t="s">
        <v>432</v>
      </c>
      <c r="H104" s="13" t="s">
        <v>297</v>
      </c>
      <c r="I104" s="13" t="s">
        <v>387</v>
      </c>
      <c r="J104" s="13" t="s">
        <v>500</v>
      </c>
      <c r="K104" s="13" t="s">
        <v>328</v>
      </c>
    </row>
    <row r="105" spans="1:11" ht="28" x14ac:dyDescent="0.3">
      <c r="A105" s="27" t="str">
        <f>IF(F105="00","General"&amp;INDEX(问题代码结构!$B$12:$B$20,MATCH($E105,问题代码结构!$C$12:$C$20,0)),D105&amp;F105)</f>
        <v>0302</v>
      </c>
      <c r="B105" s="24" t="str">
        <f t="shared" si="2"/>
        <v>院内会-会议餐费</v>
      </c>
      <c r="C105" s="8" t="str">
        <f t="shared" si="3"/>
        <v>MN030204</v>
      </c>
      <c r="D105" s="13" t="s">
        <v>297</v>
      </c>
      <c r="E105" s="13" t="s">
        <v>443</v>
      </c>
      <c r="F105" s="13" t="s">
        <v>296</v>
      </c>
      <c r="G105" s="13" t="s">
        <v>432</v>
      </c>
      <c r="H105" s="13" t="s">
        <v>298</v>
      </c>
      <c r="I105" s="13" t="s">
        <v>389</v>
      </c>
      <c r="J105" s="13" t="s">
        <v>390</v>
      </c>
      <c r="K105" s="13" t="s">
        <v>391</v>
      </c>
    </row>
    <row r="106" spans="1:11" ht="28" x14ac:dyDescent="0.3">
      <c r="A106" s="27" t="str">
        <f>IF(F106="00","General"&amp;INDEX(问题代码结构!$B$12:$B$20,MATCH($E106,问题代码结构!$C$12:$C$20,0)),D106&amp;F106)</f>
        <v>0302</v>
      </c>
      <c r="B106" s="24" t="str">
        <f t="shared" si="2"/>
        <v>院内会-会议餐费</v>
      </c>
      <c r="C106" s="8" t="str">
        <f t="shared" si="3"/>
        <v>MN030205</v>
      </c>
      <c r="D106" s="13" t="s">
        <v>297</v>
      </c>
      <c r="E106" s="13" t="s">
        <v>443</v>
      </c>
      <c r="F106" s="13" t="s">
        <v>296</v>
      </c>
      <c r="G106" s="13" t="s">
        <v>432</v>
      </c>
      <c r="H106" s="13" t="s">
        <v>299</v>
      </c>
      <c r="I106" s="13" t="s">
        <v>392</v>
      </c>
      <c r="J106" s="13" t="s">
        <v>393</v>
      </c>
      <c r="K106" s="13" t="s">
        <v>328</v>
      </c>
    </row>
    <row r="107" spans="1:11" ht="28" x14ac:dyDescent="0.3">
      <c r="A107" s="27" t="str">
        <f>IF(F107="00","General"&amp;INDEX(问题代码结构!$B$12:$B$20,MATCH($E107,问题代码结构!$C$12:$C$20,0)),D107&amp;F107)</f>
        <v>0302</v>
      </c>
      <c r="B107" s="24" t="str">
        <f t="shared" si="2"/>
        <v>院内会-会议餐费</v>
      </c>
      <c r="C107" s="8" t="str">
        <f t="shared" si="3"/>
        <v>MN030206</v>
      </c>
      <c r="D107" s="13" t="s">
        <v>297</v>
      </c>
      <c r="E107" s="13" t="s">
        <v>443</v>
      </c>
      <c r="F107" s="13" t="s">
        <v>296</v>
      </c>
      <c r="G107" s="13" t="s">
        <v>432</v>
      </c>
      <c r="H107" s="13" t="s">
        <v>300</v>
      </c>
      <c r="I107" s="13" t="s">
        <v>394</v>
      </c>
      <c r="J107" s="13" t="s">
        <v>395</v>
      </c>
      <c r="K107" s="13" t="s">
        <v>396</v>
      </c>
    </row>
    <row r="108" spans="1:11" ht="28" x14ac:dyDescent="0.3">
      <c r="A108" s="27" t="str">
        <f>IF(F108="00","General"&amp;INDEX(问题代码结构!$B$12:$B$20,MATCH($E108,问题代码结构!$C$12:$C$20,0)),D108&amp;F108)</f>
        <v>General03</v>
      </c>
      <c r="B108" s="24" t="str">
        <f t="shared" si="2"/>
        <v>院内会-通用</v>
      </c>
      <c r="C108" s="8" t="str">
        <f t="shared" si="3"/>
        <v>MN030001</v>
      </c>
      <c r="D108" s="13" t="s">
        <v>297</v>
      </c>
      <c r="E108" s="13" t="s">
        <v>443</v>
      </c>
      <c r="F108" s="25" t="s">
        <v>568</v>
      </c>
      <c r="G108" s="26" t="s">
        <v>570</v>
      </c>
      <c r="H108" s="13" t="s">
        <v>295</v>
      </c>
      <c r="I108" s="13" t="s">
        <v>501</v>
      </c>
      <c r="J108" s="13" t="s">
        <v>425</v>
      </c>
      <c r="K108" s="13" t="s">
        <v>326</v>
      </c>
    </row>
    <row r="109" spans="1:11" ht="28" x14ac:dyDescent="0.3">
      <c r="A109" s="27" t="str">
        <f>IF(F109="00","General"&amp;INDEX(问题代码结构!$B$12:$B$20,MATCH($E109,问题代码结构!$C$12:$C$20,0)),D109&amp;F109)</f>
        <v>General03</v>
      </c>
      <c r="B109" s="24" t="str">
        <f t="shared" si="2"/>
        <v>院内会-通用</v>
      </c>
      <c r="C109" s="8" t="str">
        <f t="shared" si="3"/>
        <v>MN030002</v>
      </c>
      <c r="D109" s="13" t="s">
        <v>297</v>
      </c>
      <c r="E109" s="13" t="s">
        <v>443</v>
      </c>
      <c r="F109" s="25" t="s">
        <v>568</v>
      </c>
      <c r="G109" s="26" t="s">
        <v>570</v>
      </c>
      <c r="H109" s="13" t="s">
        <v>296</v>
      </c>
      <c r="I109" s="13" t="s">
        <v>474</v>
      </c>
      <c r="J109" s="13" t="s">
        <v>327</v>
      </c>
      <c r="K109" s="13" t="s">
        <v>328</v>
      </c>
    </row>
    <row r="110" spans="1:11" x14ac:dyDescent="0.3">
      <c r="A110" s="27" t="str">
        <f>IF(F110="00","General"&amp;INDEX(问题代码结构!$B$12:$B$20,MATCH($E110,问题代码结构!$C$12:$C$20,0)),D110&amp;F110)</f>
        <v>General03</v>
      </c>
      <c r="B110" s="24" t="str">
        <f t="shared" si="2"/>
        <v>院内会-通用</v>
      </c>
      <c r="C110" s="8" t="str">
        <f t="shared" si="3"/>
        <v>MN030003</v>
      </c>
      <c r="D110" s="13" t="s">
        <v>297</v>
      </c>
      <c r="E110" s="13" t="s">
        <v>443</v>
      </c>
      <c r="F110" s="25" t="s">
        <v>568</v>
      </c>
      <c r="G110" s="26" t="s">
        <v>570</v>
      </c>
      <c r="H110" s="13" t="s">
        <v>297</v>
      </c>
      <c r="I110" s="13" t="s">
        <v>475</v>
      </c>
      <c r="J110" s="13" t="s">
        <v>329</v>
      </c>
      <c r="K110" s="13" t="s">
        <v>330</v>
      </c>
    </row>
    <row r="111" spans="1:11" ht="28" x14ac:dyDescent="0.3">
      <c r="A111" s="27" t="str">
        <f>IF(F111="00","General"&amp;INDEX(问题代码结构!$B$12:$B$20,MATCH($E111,问题代码结构!$C$12:$C$20,0)),D111&amp;F111)</f>
        <v>General03</v>
      </c>
      <c r="B111" s="24" t="str">
        <f t="shared" si="2"/>
        <v>院内会-通用</v>
      </c>
      <c r="C111" s="8" t="str">
        <f t="shared" si="3"/>
        <v>MN030004</v>
      </c>
      <c r="D111" s="13" t="s">
        <v>297</v>
      </c>
      <c r="E111" s="13" t="s">
        <v>443</v>
      </c>
      <c r="F111" s="25" t="s">
        <v>568</v>
      </c>
      <c r="G111" s="26" t="s">
        <v>570</v>
      </c>
      <c r="H111" s="13" t="s">
        <v>298</v>
      </c>
      <c r="I111" s="13" t="s">
        <v>476</v>
      </c>
      <c r="J111" s="13" t="s">
        <v>331</v>
      </c>
      <c r="K111" s="13" t="s">
        <v>332</v>
      </c>
    </row>
    <row r="112" spans="1:11" x14ac:dyDescent="0.3">
      <c r="A112" s="27" t="str">
        <f>IF(F112="00","General"&amp;INDEX(问题代码结构!$B$12:$B$20,MATCH($E112,问题代码结构!$C$12:$C$20,0)),D112&amp;F112)</f>
        <v>General03</v>
      </c>
      <c r="B112" s="24" t="str">
        <f t="shared" si="2"/>
        <v>院内会-通用</v>
      </c>
      <c r="C112" s="8" t="str">
        <f t="shared" si="3"/>
        <v>MN030005</v>
      </c>
      <c r="D112" s="13" t="s">
        <v>297</v>
      </c>
      <c r="E112" s="13" t="s">
        <v>443</v>
      </c>
      <c r="F112" s="25" t="s">
        <v>568</v>
      </c>
      <c r="G112" s="26" t="s">
        <v>570</v>
      </c>
      <c r="H112" s="13" t="s">
        <v>299</v>
      </c>
      <c r="I112" s="13" t="s">
        <v>477</v>
      </c>
      <c r="J112" s="13" t="s">
        <v>426</v>
      </c>
      <c r="K112" s="13" t="s">
        <v>334</v>
      </c>
    </row>
    <row r="113" spans="1:11" x14ac:dyDescent="0.3">
      <c r="A113" s="27" t="str">
        <f>IF(F113="00","General"&amp;INDEX(问题代码结构!$B$12:$B$20,MATCH($E113,问题代码结构!$C$12:$C$20,0)),D113&amp;F113)</f>
        <v>General03</v>
      </c>
      <c r="B113" s="24" t="str">
        <f t="shared" si="2"/>
        <v>院内会-通用</v>
      </c>
      <c r="C113" s="8" t="str">
        <f t="shared" si="3"/>
        <v>MN030006</v>
      </c>
      <c r="D113" s="13" t="s">
        <v>297</v>
      </c>
      <c r="E113" s="13" t="s">
        <v>443</v>
      </c>
      <c r="F113" s="25" t="s">
        <v>568</v>
      </c>
      <c r="G113" s="26" t="s">
        <v>570</v>
      </c>
      <c r="H113" s="13" t="s">
        <v>300</v>
      </c>
      <c r="I113" s="13" t="s">
        <v>502</v>
      </c>
      <c r="J113" s="13" t="s">
        <v>503</v>
      </c>
      <c r="K113" s="13" t="s">
        <v>504</v>
      </c>
    </row>
    <row r="114" spans="1:11" x14ac:dyDescent="0.3">
      <c r="A114" s="27" t="str">
        <f>IF(F114="00","General"&amp;INDEX(问题代码结构!$B$12:$B$20,MATCH($E114,问题代码结构!$C$12:$C$20,0)),D114&amp;F114)</f>
        <v>General03</v>
      </c>
      <c r="B114" s="24" t="str">
        <f t="shared" si="2"/>
        <v>院内会-通用</v>
      </c>
      <c r="C114" s="8" t="str">
        <f t="shared" si="3"/>
        <v>MN030007</v>
      </c>
      <c r="D114" s="13" t="s">
        <v>297</v>
      </c>
      <c r="E114" s="13" t="s">
        <v>443</v>
      </c>
      <c r="F114" s="25" t="s">
        <v>568</v>
      </c>
      <c r="G114" s="26" t="s">
        <v>570</v>
      </c>
      <c r="H114" s="13" t="s">
        <v>301</v>
      </c>
      <c r="I114" s="13" t="s">
        <v>481</v>
      </c>
      <c r="J114" s="13" t="s">
        <v>339</v>
      </c>
      <c r="K114" s="13" t="s">
        <v>340</v>
      </c>
    </row>
    <row r="115" spans="1:11" ht="28" x14ac:dyDescent="0.3">
      <c r="A115" s="27" t="str">
        <f>IF(F115="00","General"&amp;INDEX(问题代码结构!$B$12:$B$20,MATCH($E115,问题代码结构!$C$12:$C$20,0)),D115&amp;F115)</f>
        <v>General03</v>
      </c>
      <c r="B115" s="24" t="str">
        <f t="shared" si="2"/>
        <v>院内会-通用</v>
      </c>
      <c r="C115" s="8" t="str">
        <f t="shared" si="3"/>
        <v>MN030008</v>
      </c>
      <c r="D115" s="13" t="s">
        <v>297</v>
      </c>
      <c r="E115" s="13" t="s">
        <v>443</v>
      </c>
      <c r="F115" s="25" t="s">
        <v>568</v>
      </c>
      <c r="G115" s="26" t="s">
        <v>570</v>
      </c>
      <c r="H115" s="13" t="s">
        <v>302</v>
      </c>
      <c r="I115" s="13" t="s">
        <v>482</v>
      </c>
      <c r="J115" s="13" t="s">
        <v>341</v>
      </c>
      <c r="K115" s="13" t="s">
        <v>328</v>
      </c>
    </row>
    <row r="116" spans="1:11" x14ac:dyDescent="0.3">
      <c r="A116" s="27" t="str">
        <f>IF(F116="00","General"&amp;INDEX(问题代码结构!$B$12:$B$20,MATCH($E116,问题代码结构!$C$12:$C$20,0)),D116&amp;F116)</f>
        <v>General03</v>
      </c>
      <c r="B116" s="24" t="str">
        <f t="shared" si="2"/>
        <v>院内会-通用</v>
      </c>
      <c r="C116" s="8" t="str">
        <f t="shared" si="3"/>
        <v>MN030009</v>
      </c>
      <c r="D116" s="13" t="s">
        <v>297</v>
      </c>
      <c r="E116" s="13" t="s">
        <v>443</v>
      </c>
      <c r="F116" s="25" t="s">
        <v>568</v>
      </c>
      <c r="G116" s="26" t="s">
        <v>570</v>
      </c>
      <c r="H116" s="13" t="s">
        <v>303</v>
      </c>
      <c r="I116" s="13" t="s">
        <v>483</v>
      </c>
      <c r="J116" s="13" t="s">
        <v>342</v>
      </c>
      <c r="K116" s="13" t="s">
        <v>343</v>
      </c>
    </row>
    <row r="117" spans="1:11" ht="42" x14ac:dyDescent="0.3">
      <c r="A117" s="27" t="str">
        <f>IF(F117="00","General"&amp;INDEX(问题代码结构!$B$12:$B$20,MATCH($E117,问题代码结构!$C$12:$C$20,0)),D117&amp;F117)</f>
        <v>General03</v>
      </c>
      <c r="B117" s="24" t="str">
        <f t="shared" si="2"/>
        <v>院内会-通用</v>
      </c>
      <c r="C117" s="8" t="str">
        <f t="shared" si="3"/>
        <v>MN030010</v>
      </c>
      <c r="D117" s="13" t="s">
        <v>297</v>
      </c>
      <c r="E117" s="13" t="s">
        <v>443</v>
      </c>
      <c r="F117" s="25" t="s">
        <v>568</v>
      </c>
      <c r="G117" s="26" t="s">
        <v>570</v>
      </c>
      <c r="H117" s="13" t="s">
        <v>304</v>
      </c>
      <c r="I117" s="13" t="s">
        <v>484</v>
      </c>
      <c r="J117" s="13" t="s">
        <v>344</v>
      </c>
      <c r="K117" s="13" t="s">
        <v>345</v>
      </c>
    </row>
    <row r="118" spans="1:11" ht="28" x14ac:dyDescent="0.3">
      <c r="A118" s="27" t="str">
        <f>IF(F118="00","General"&amp;INDEX(问题代码结构!$B$12:$B$20,MATCH($E118,问题代码结构!$C$12:$C$20,0)),D118&amp;F118)</f>
        <v>General03</v>
      </c>
      <c r="B118" s="24" t="str">
        <f t="shared" si="2"/>
        <v>院内会-通用</v>
      </c>
      <c r="C118" s="8" t="str">
        <f t="shared" si="3"/>
        <v>MN030011</v>
      </c>
      <c r="D118" s="13" t="s">
        <v>297</v>
      </c>
      <c r="E118" s="13" t="s">
        <v>443</v>
      </c>
      <c r="F118" s="25" t="s">
        <v>568</v>
      </c>
      <c r="G118" s="26" t="s">
        <v>570</v>
      </c>
      <c r="H118" s="13" t="s">
        <v>305</v>
      </c>
      <c r="I118" s="13" t="s">
        <v>485</v>
      </c>
      <c r="J118" s="13" t="s">
        <v>346</v>
      </c>
      <c r="K118" s="13" t="s">
        <v>347</v>
      </c>
    </row>
    <row r="119" spans="1:11" ht="28" x14ac:dyDescent="0.3">
      <c r="A119" s="27" t="str">
        <f>IF(F119="00","General"&amp;INDEX(问题代码结构!$B$12:$B$20,MATCH($E119,问题代码结构!$C$12:$C$20,0)),D119&amp;F119)</f>
        <v>General03</v>
      </c>
      <c r="B119" s="24" t="str">
        <f t="shared" si="2"/>
        <v>院内会-通用</v>
      </c>
      <c r="C119" s="8" t="str">
        <f t="shared" si="3"/>
        <v>MN030012</v>
      </c>
      <c r="D119" s="13" t="s">
        <v>297</v>
      </c>
      <c r="E119" s="13" t="s">
        <v>443</v>
      </c>
      <c r="F119" s="25" t="s">
        <v>568</v>
      </c>
      <c r="G119" s="26" t="s">
        <v>570</v>
      </c>
      <c r="H119" s="13" t="s">
        <v>306</v>
      </c>
      <c r="I119" s="13" t="s">
        <v>486</v>
      </c>
      <c r="J119" s="13" t="s">
        <v>348</v>
      </c>
      <c r="K119" s="13" t="s">
        <v>347</v>
      </c>
    </row>
    <row r="120" spans="1:11" ht="42" x14ac:dyDescent="0.3">
      <c r="A120" s="27" t="str">
        <f>IF(F120="00","General"&amp;INDEX(问题代码结构!$B$12:$B$20,MATCH($E120,问题代码结构!$C$12:$C$20,0)),D120&amp;F120)</f>
        <v>General03</v>
      </c>
      <c r="B120" s="24" t="str">
        <f t="shared" si="2"/>
        <v>院内会-通用</v>
      </c>
      <c r="C120" s="8" t="str">
        <f t="shared" si="3"/>
        <v>MN030013</v>
      </c>
      <c r="D120" s="13" t="s">
        <v>297</v>
      </c>
      <c r="E120" s="13" t="s">
        <v>443</v>
      </c>
      <c r="F120" s="25" t="s">
        <v>568</v>
      </c>
      <c r="G120" s="26" t="s">
        <v>570</v>
      </c>
      <c r="H120" s="13" t="s">
        <v>307</v>
      </c>
      <c r="I120" s="13" t="s">
        <v>487</v>
      </c>
      <c r="J120" s="13" t="s">
        <v>349</v>
      </c>
      <c r="K120" s="13" t="s">
        <v>347</v>
      </c>
    </row>
    <row r="121" spans="1:11" x14ac:dyDescent="0.3">
      <c r="A121" s="27" t="str">
        <f>IF(F121="00","General"&amp;INDEX(问题代码结构!$B$12:$B$20,MATCH($E121,问题代码结构!$C$12:$C$20,0)),D121&amp;F121)</f>
        <v>General03</v>
      </c>
      <c r="B121" s="24" t="str">
        <f t="shared" si="2"/>
        <v>院内会-通用</v>
      </c>
      <c r="C121" s="8" t="str">
        <f t="shared" si="3"/>
        <v>MN030014</v>
      </c>
      <c r="D121" s="13" t="s">
        <v>297</v>
      </c>
      <c r="E121" s="13" t="s">
        <v>443</v>
      </c>
      <c r="F121" s="25" t="s">
        <v>568</v>
      </c>
      <c r="G121" s="26" t="s">
        <v>570</v>
      </c>
      <c r="H121" s="13" t="s">
        <v>308</v>
      </c>
      <c r="I121" s="13" t="s">
        <v>488</v>
      </c>
      <c r="J121" s="13" t="s">
        <v>350</v>
      </c>
      <c r="K121" s="13" t="s">
        <v>347</v>
      </c>
    </row>
    <row r="122" spans="1:11" x14ac:dyDescent="0.3">
      <c r="A122" s="27" t="str">
        <f>IF(F122="00","General"&amp;INDEX(问题代码结构!$B$12:$B$20,MATCH($E122,问题代码结构!$C$12:$C$20,0)),D122&amp;F122)</f>
        <v>General03</v>
      </c>
      <c r="B122" s="24" t="str">
        <f t="shared" si="2"/>
        <v>院内会-通用</v>
      </c>
      <c r="C122" s="8" t="str">
        <f t="shared" si="3"/>
        <v>MN030015</v>
      </c>
      <c r="D122" s="13" t="s">
        <v>297</v>
      </c>
      <c r="E122" s="13" t="s">
        <v>443</v>
      </c>
      <c r="F122" s="25" t="s">
        <v>568</v>
      </c>
      <c r="G122" s="26" t="s">
        <v>570</v>
      </c>
      <c r="H122" s="13" t="s">
        <v>309</v>
      </c>
      <c r="I122" s="13" t="s">
        <v>489</v>
      </c>
      <c r="J122" s="13" t="s">
        <v>427</v>
      </c>
      <c r="K122" s="13" t="s">
        <v>347</v>
      </c>
    </row>
    <row r="123" spans="1:11" x14ac:dyDescent="0.3">
      <c r="A123" s="27" t="str">
        <f>IF(F123="00","General"&amp;INDEX(问题代码结构!$B$12:$B$20,MATCH($E123,问题代码结构!$C$12:$C$20,0)),D123&amp;F123)</f>
        <v>General03</v>
      </c>
      <c r="B123" s="24" t="str">
        <f t="shared" si="2"/>
        <v>院内会-通用</v>
      </c>
      <c r="C123" s="8" t="str">
        <f t="shared" si="3"/>
        <v>MN030016</v>
      </c>
      <c r="D123" s="13" t="s">
        <v>297</v>
      </c>
      <c r="E123" s="13" t="s">
        <v>443</v>
      </c>
      <c r="F123" s="25" t="s">
        <v>568</v>
      </c>
      <c r="G123" s="26" t="s">
        <v>570</v>
      </c>
      <c r="H123" s="13" t="s">
        <v>310</v>
      </c>
      <c r="I123" s="13" t="s">
        <v>490</v>
      </c>
      <c r="J123" s="13" t="s">
        <v>428</v>
      </c>
      <c r="K123" s="13" t="s">
        <v>353</v>
      </c>
    </row>
    <row r="124" spans="1:11" ht="42" x14ac:dyDescent="0.3">
      <c r="A124" s="27" t="str">
        <f>IF(F124="00","General"&amp;INDEX(问题代码结构!$B$12:$B$20,MATCH($E124,问题代码结构!$C$12:$C$20,0)),D124&amp;F124)</f>
        <v>General03</v>
      </c>
      <c r="B124" s="24" t="str">
        <f t="shared" si="2"/>
        <v>院内会-通用</v>
      </c>
      <c r="C124" s="8" t="str">
        <f t="shared" si="3"/>
        <v>MN030017</v>
      </c>
      <c r="D124" s="13" t="s">
        <v>297</v>
      </c>
      <c r="E124" s="13" t="s">
        <v>443</v>
      </c>
      <c r="F124" s="25" t="s">
        <v>568</v>
      </c>
      <c r="G124" s="26" t="s">
        <v>570</v>
      </c>
      <c r="H124" s="13" t="s">
        <v>311</v>
      </c>
      <c r="I124" s="13" t="s">
        <v>492</v>
      </c>
      <c r="J124" s="13" t="s">
        <v>356</v>
      </c>
      <c r="K124" s="13" t="s">
        <v>357</v>
      </c>
    </row>
    <row r="125" spans="1:11" x14ac:dyDescent="0.3">
      <c r="A125" s="27" t="str">
        <f>IF(F125="00","General"&amp;INDEX(问题代码结构!$B$12:$B$20,MATCH($E125,问题代码结构!$C$12:$C$20,0)),D125&amp;F125)</f>
        <v>General03</v>
      </c>
      <c r="B125" s="24" t="str">
        <f t="shared" si="2"/>
        <v>院内会-通用</v>
      </c>
      <c r="C125" s="8" t="str">
        <f t="shared" si="3"/>
        <v>MN030018</v>
      </c>
      <c r="D125" s="13" t="s">
        <v>297</v>
      </c>
      <c r="E125" s="13" t="s">
        <v>443</v>
      </c>
      <c r="F125" s="25" t="s">
        <v>568</v>
      </c>
      <c r="G125" s="26" t="s">
        <v>570</v>
      </c>
      <c r="H125" s="13" t="s">
        <v>312</v>
      </c>
      <c r="I125" s="13" t="s">
        <v>493</v>
      </c>
      <c r="J125" s="13" t="s">
        <v>429</v>
      </c>
      <c r="K125" s="13" t="s">
        <v>359</v>
      </c>
    </row>
    <row r="126" spans="1:11" ht="42" x14ac:dyDescent="0.3">
      <c r="A126" s="27" t="str">
        <f>IF(F126="00","General"&amp;INDEX(问题代码结构!$B$12:$B$20,MATCH($E126,问题代码结构!$C$12:$C$20,0)),D126&amp;F126)</f>
        <v>0306</v>
      </c>
      <c r="B126" s="24" t="str">
        <f t="shared" si="2"/>
        <v>院内会-会议茶歇</v>
      </c>
      <c r="C126" s="8" t="str">
        <f t="shared" si="3"/>
        <v>MN030601</v>
      </c>
      <c r="D126" s="13" t="s">
        <v>297</v>
      </c>
      <c r="E126" s="13" t="s">
        <v>443</v>
      </c>
      <c r="F126" s="13" t="s">
        <v>300</v>
      </c>
      <c r="G126" s="13" t="s">
        <v>436</v>
      </c>
      <c r="H126" s="13" t="s">
        <v>295</v>
      </c>
      <c r="I126" s="13" t="s">
        <v>505</v>
      </c>
      <c r="J126" s="13" t="s">
        <v>506</v>
      </c>
      <c r="K126" s="13" t="s">
        <v>328</v>
      </c>
    </row>
    <row r="127" spans="1:11" ht="28" x14ac:dyDescent="0.3">
      <c r="A127" s="27" t="str">
        <f>IF(F127="00","General"&amp;INDEX(问题代码结构!$B$12:$B$20,MATCH($E127,问题代码结构!$C$12:$C$20,0)),D127&amp;F127)</f>
        <v>0306</v>
      </c>
      <c r="B127" s="24" t="str">
        <f t="shared" si="2"/>
        <v>院内会-会议茶歇</v>
      </c>
      <c r="C127" s="8" t="str">
        <f t="shared" si="3"/>
        <v>MN030602</v>
      </c>
      <c r="D127" s="13" t="s">
        <v>297</v>
      </c>
      <c r="E127" s="13" t="s">
        <v>443</v>
      </c>
      <c r="F127" s="13" t="s">
        <v>300</v>
      </c>
      <c r="G127" s="13" t="s">
        <v>436</v>
      </c>
      <c r="H127" s="13" t="s">
        <v>296</v>
      </c>
      <c r="I127" s="13" t="s">
        <v>392</v>
      </c>
      <c r="J127" s="13" t="s">
        <v>393</v>
      </c>
      <c r="K127" s="13" t="s">
        <v>328</v>
      </c>
    </row>
    <row r="128" spans="1:11" ht="28" x14ac:dyDescent="0.3">
      <c r="A128" s="27" t="str">
        <f>IF(F128="00","General"&amp;INDEX(问题代码结构!$B$12:$B$20,MATCH($E128,问题代码结构!$C$12:$C$20,0)),D128&amp;F128)</f>
        <v>0306</v>
      </c>
      <c r="B128" s="24" t="str">
        <f t="shared" si="2"/>
        <v>院内会-会议茶歇</v>
      </c>
      <c r="C128" s="8" t="str">
        <f t="shared" si="3"/>
        <v>MN030603</v>
      </c>
      <c r="D128" s="13" t="s">
        <v>297</v>
      </c>
      <c r="E128" s="13" t="s">
        <v>443</v>
      </c>
      <c r="F128" s="13" t="s">
        <v>300</v>
      </c>
      <c r="G128" s="13" t="s">
        <v>436</v>
      </c>
      <c r="H128" s="13" t="s">
        <v>297</v>
      </c>
      <c r="I128" s="13" t="s">
        <v>394</v>
      </c>
      <c r="J128" s="13" t="s">
        <v>395</v>
      </c>
      <c r="K128" s="13" t="s">
        <v>396</v>
      </c>
    </row>
    <row r="129" spans="1:11" ht="28" x14ac:dyDescent="0.3">
      <c r="A129" s="27" t="str">
        <f>IF(F129="00","General"&amp;INDEX(问题代码结构!$B$12:$B$20,MATCH($E129,问题代码结构!$C$12:$C$20,0)),D129&amp;F129)</f>
        <v>0401</v>
      </c>
      <c r="B129" s="24" t="str">
        <f t="shared" si="2"/>
        <v>多学科专家研讨会-会议讲课费</v>
      </c>
      <c r="C129" s="8" t="str">
        <f t="shared" si="3"/>
        <v>MN040101</v>
      </c>
      <c r="D129" s="13" t="s">
        <v>298</v>
      </c>
      <c r="E129" s="13" t="s">
        <v>507</v>
      </c>
      <c r="F129" s="13" t="s">
        <v>295</v>
      </c>
      <c r="G129" s="13" t="s">
        <v>431</v>
      </c>
      <c r="H129" s="13" t="s">
        <v>295</v>
      </c>
      <c r="I129" s="13" t="s">
        <v>360</v>
      </c>
      <c r="J129" s="13" t="s">
        <v>361</v>
      </c>
      <c r="K129" s="13" t="s">
        <v>362</v>
      </c>
    </row>
    <row r="130" spans="1:11" ht="28" x14ac:dyDescent="0.3">
      <c r="A130" s="27" t="str">
        <f>IF(F130="00","General"&amp;INDEX(问题代码结构!$B$12:$B$20,MATCH($E130,问题代码结构!$C$12:$C$20,0)),D130&amp;F130)</f>
        <v>0401</v>
      </c>
      <c r="B130" s="24" t="str">
        <f t="shared" si="2"/>
        <v>多学科专家研讨会-会议讲课费</v>
      </c>
      <c r="C130" s="8" t="str">
        <f t="shared" si="3"/>
        <v>MN040102</v>
      </c>
      <c r="D130" s="13" t="s">
        <v>298</v>
      </c>
      <c r="E130" s="13" t="s">
        <v>507</v>
      </c>
      <c r="F130" s="13" t="s">
        <v>295</v>
      </c>
      <c r="G130" s="13" t="s">
        <v>431</v>
      </c>
      <c r="H130" s="13" t="s">
        <v>296</v>
      </c>
      <c r="I130" s="13" t="s">
        <v>363</v>
      </c>
      <c r="J130" s="13" t="s">
        <v>364</v>
      </c>
      <c r="K130" s="13" t="s">
        <v>328</v>
      </c>
    </row>
    <row r="131" spans="1:11" ht="28" x14ac:dyDescent="0.3">
      <c r="A131" s="27" t="str">
        <f>IF(F131="00","General"&amp;INDEX(问题代码结构!$B$12:$B$20,MATCH($E131,问题代码结构!$C$12:$C$20,0)),D131&amp;F131)</f>
        <v>0401</v>
      </c>
      <c r="B131" s="24" t="str">
        <f t="shared" ref="B131:B194" si="4">E131&amp;"-"&amp;G131</f>
        <v>多学科专家研讨会-会议讲课费</v>
      </c>
      <c r="C131" s="8" t="str">
        <f t="shared" ref="C131:C194" si="5">"MN"&amp;D131&amp;F131&amp;H131</f>
        <v>MN040105</v>
      </c>
      <c r="D131" s="13" t="s">
        <v>298</v>
      </c>
      <c r="E131" s="13" t="s">
        <v>507</v>
      </c>
      <c r="F131" s="13" t="s">
        <v>295</v>
      </c>
      <c r="G131" s="13" t="s">
        <v>431</v>
      </c>
      <c r="H131" s="13" t="s">
        <v>299</v>
      </c>
      <c r="I131" s="13" t="s">
        <v>370</v>
      </c>
      <c r="J131" s="13" t="s">
        <v>371</v>
      </c>
      <c r="K131" s="13" t="s">
        <v>372</v>
      </c>
    </row>
    <row r="132" spans="1:11" ht="28" x14ac:dyDescent="0.3">
      <c r="A132" s="27" t="str">
        <f>IF(F132="00","General"&amp;INDEX(问题代码结构!$B$12:$B$20,MATCH($E132,问题代码结构!$C$12:$C$20,0)),D132&amp;F132)</f>
        <v>0401</v>
      </c>
      <c r="B132" s="24" t="str">
        <f t="shared" si="4"/>
        <v>多学科专家研讨会-会议讲课费</v>
      </c>
      <c r="C132" s="8" t="str">
        <f t="shared" si="5"/>
        <v>MN040106</v>
      </c>
      <c r="D132" s="13" t="s">
        <v>298</v>
      </c>
      <c r="E132" s="13" t="s">
        <v>507</v>
      </c>
      <c r="F132" s="13" t="s">
        <v>295</v>
      </c>
      <c r="G132" s="13" t="s">
        <v>431</v>
      </c>
      <c r="H132" s="13" t="s">
        <v>300</v>
      </c>
      <c r="I132" s="13" t="s">
        <v>373</v>
      </c>
      <c r="J132" s="13" t="s">
        <v>508</v>
      </c>
      <c r="K132" s="13" t="s">
        <v>362</v>
      </c>
    </row>
    <row r="133" spans="1:11" ht="28" x14ac:dyDescent="0.3">
      <c r="A133" s="27" t="str">
        <f>IF(F133="00","General"&amp;INDEX(问题代码结构!$B$12:$B$20,MATCH($E133,问题代码结构!$C$12:$C$20,0)),D133&amp;F133)</f>
        <v>0401</v>
      </c>
      <c r="B133" s="24" t="str">
        <f t="shared" si="4"/>
        <v>多学科专家研讨会-会议讲课费</v>
      </c>
      <c r="C133" s="8" t="str">
        <f t="shared" si="5"/>
        <v>MN040107</v>
      </c>
      <c r="D133" s="13" t="s">
        <v>298</v>
      </c>
      <c r="E133" s="13" t="s">
        <v>507</v>
      </c>
      <c r="F133" s="13" t="s">
        <v>295</v>
      </c>
      <c r="G133" s="13" t="s">
        <v>431</v>
      </c>
      <c r="H133" s="13" t="s">
        <v>301</v>
      </c>
      <c r="I133" s="13" t="s">
        <v>375</v>
      </c>
      <c r="J133" s="13" t="s">
        <v>509</v>
      </c>
      <c r="K133" s="13" t="s">
        <v>362</v>
      </c>
    </row>
    <row r="134" spans="1:11" ht="28" x14ac:dyDescent="0.3">
      <c r="A134" s="27" t="str">
        <f>IF(F134="00","General"&amp;INDEX(问题代码结构!$B$12:$B$20,MATCH($E134,问题代码结构!$C$12:$C$20,0)),D134&amp;F134)</f>
        <v>0401</v>
      </c>
      <c r="B134" s="24" t="str">
        <f t="shared" si="4"/>
        <v>多学科专家研讨会-会议讲课费</v>
      </c>
      <c r="C134" s="8" t="str">
        <f t="shared" si="5"/>
        <v>MN040108</v>
      </c>
      <c r="D134" s="13" t="s">
        <v>298</v>
      </c>
      <c r="E134" s="13" t="s">
        <v>507</v>
      </c>
      <c r="F134" s="13" t="s">
        <v>295</v>
      </c>
      <c r="G134" s="13" t="s">
        <v>431</v>
      </c>
      <c r="H134" s="13" t="s">
        <v>302</v>
      </c>
      <c r="I134" s="13" t="s">
        <v>377</v>
      </c>
      <c r="J134" s="13" t="s">
        <v>510</v>
      </c>
      <c r="K134" s="13" t="s">
        <v>379</v>
      </c>
    </row>
    <row r="135" spans="1:11" ht="28" x14ac:dyDescent="0.3">
      <c r="A135" s="27" t="str">
        <f>IF(F135="00","General"&amp;INDEX(问题代码结构!$B$12:$B$20,MATCH($E135,问题代码结构!$C$12:$C$20,0)),D135&amp;F135)</f>
        <v>0401</v>
      </c>
      <c r="B135" s="24" t="str">
        <f t="shared" si="4"/>
        <v>多学科专家研讨会-会议讲课费</v>
      </c>
      <c r="C135" s="8" t="str">
        <f t="shared" si="5"/>
        <v>MN040109</v>
      </c>
      <c r="D135" s="13" t="s">
        <v>298</v>
      </c>
      <c r="E135" s="13" t="s">
        <v>507</v>
      </c>
      <c r="F135" s="13" t="s">
        <v>295</v>
      </c>
      <c r="G135" s="13" t="s">
        <v>431</v>
      </c>
      <c r="H135" s="13" t="s">
        <v>303</v>
      </c>
      <c r="I135" s="13" t="s">
        <v>380</v>
      </c>
      <c r="J135" s="13" t="s">
        <v>511</v>
      </c>
      <c r="K135" s="13" t="s">
        <v>362</v>
      </c>
    </row>
    <row r="136" spans="1:11" ht="28" x14ac:dyDescent="0.3">
      <c r="A136" s="27" t="str">
        <f>IF(F136="00","General"&amp;INDEX(问题代码结构!$B$12:$B$20,MATCH($E136,问题代码结构!$C$12:$C$20,0)),D136&amp;F136)</f>
        <v>0401</v>
      </c>
      <c r="B136" s="24" t="str">
        <f t="shared" si="4"/>
        <v>多学科专家研讨会-会议讲课费</v>
      </c>
      <c r="C136" s="8" t="str">
        <f t="shared" si="5"/>
        <v>MN040110</v>
      </c>
      <c r="D136" s="13" t="s">
        <v>298</v>
      </c>
      <c r="E136" s="13" t="s">
        <v>507</v>
      </c>
      <c r="F136" s="13" t="s">
        <v>295</v>
      </c>
      <c r="G136" s="13" t="s">
        <v>431</v>
      </c>
      <c r="H136" s="13" t="s">
        <v>304</v>
      </c>
      <c r="I136" s="13" t="s">
        <v>380</v>
      </c>
      <c r="J136" s="13" t="s">
        <v>512</v>
      </c>
      <c r="K136" s="13" t="s">
        <v>328</v>
      </c>
    </row>
    <row r="137" spans="1:11" ht="28" x14ac:dyDescent="0.3">
      <c r="A137" s="27" t="str">
        <f>IF(F137="00","General"&amp;INDEX(问题代码结构!$B$12:$B$20,MATCH($E137,问题代码结构!$C$12:$C$20,0)),D137&amp;F137)</f>
        <v>General04</v>
      </c>
      <c r="B137" s="24" t="str">
        <f t="shared" si="4"/>
        <v>多学科专家研讨会-通用</v>
      </c>
      <c r="C137" s="8" t="str">
        <f t="shared" si="5"/>
        <v>MN040001</v>
      </c>
      <c r="D137" s="13" t="s">
        <v>298</v>
      </c>
      <c r="E137" s="13" t="s">
        <v>507</v>
      </c>
      <c r="F137" s="25" t="s">
        <v>568</v>
      </c>
      <c r="G137" s="26" t="s">
        <v>570</v>
      </c>
      <c r="H137" s="13" t="s">
        <v>295</v>
      </c>
      <c r="I137" s="13" t="s">
        <v>513</v>
      </c>
      <c r="J137" s="13" t="s">
        <v>514</v>
      </c>
      <c r="K137" s="13" t="s">
        <v>326</v>
      </c>
    </row>
    <row r="138" spans="1:11" ht="28" x14ac:dyDescent="0.3">
      <c r="A138" s="27" t="str">
        <f>IF(F138="00","General"&amp;INDEX(问题代码结构!$B$12:$B$20,MATCH($E138,问题代码结构!$C$12:$C$20,0)),D138&amp;F138)</f>
        <v>General04</v>
      </c>
      <c r="B138" s="24" t="str">
        <f t="shared" si="4"/>
        <v>多学科专家研讨会-通用</v>
      </c>
      <c r="C138" s="8" t="str">
        <f t="shared" si="5"/>
        <v>MN040002</v>
      </c>
      <c r="D138" s="13" t="s">
        <v>298</v>
      </c>
      <c r="E138" s="13" t="s">
        <v>507</v>
      </c>
      <c r="F138" s="25" t="s">
        <v>568</v>
      </c>
      <c r="G138" s="26" t="s">
        <v>570</v>
      </c>
      <c r="H138" s="13" t="s">
        <v>296</v>
      </c>
      <c r="I138" s="13" t="s">
        <v>474</v>
      </c>
      <c r="J138" s="13" t="s">
        <v>327</v>
      </c>
      <c r="K138" s="13" t="s">
        <v>328</v>
      </c>
    </row>
    <row r="139" spans="1:11" ht="28" x14ac:dyDescent="0.3">
      <c r="A139" s="27" t="str">
        <f>IF(F139="00","General"&amp;INDEX(问题代码结构!$B$12:$B$20,MATCH($E139,问题代码结构!$C$12:$C$20,0)),D139&amp;F139)</f>
        <v>General04</v>
      </c>
      <c r="B139" s="24" t="str">
        <f t="shared" si="4"/>
        <v>多学科专家研讨会-通用</v>
      </c>
      <c r="C139" s="8" t="str">
        <f t="shared" si="5"/>
        <v>MN040003</v>
      </c>
      <c r="D139" s="13" t="s">
        <v>298</v>
      </c>
      <c r="E139" s="13" t="s">
        <v>507</v>
      </c>
      <c r="F139" s="25" t="s">
        <v>568</v>
      </c>
      <c r="G139" s="26" t="s">
        <v>570</v>
      </c>
      <c r="H139" s="13" t="s">
        <v>297</v>
      </c>
      <c r="I139" s="13" t="s">
        <v>475</v>
      </c>
      <c r="J139" s="13" t="s">
        <v>329</v>
      </c>
      <c r="K139" s="13" t="s">
        <v>330</v>
      </c>
    </row>
    <row r="140" spans="1:11" ht="28" x14ac:dyDescent="0.3">
      <c r="A140" s="27" t="str">
        <f>IF(F140="00","General"&amp;INDEX(问题代码结构!$B$12:$B$20,MATCH($E140,问题代码结构!$C$12:$C$20,0)),D140&amp;F140)</f>
        <v>General04</v>
      </c>
      <c r="B140" s="24" t="str">
        <f t="shared" si="4"/>
        <v>多学科专家研讨会-通用</v>
      </c>
      <c r="C140" s="8" t="str">
        <f t="shared" si="5"/>
        <v>MN040004</v>
      </c>
      <c r="D140" s="13" t="s">
        <v>298</v>
      </c>
      <c r="E140" s="13" t="s">
        <v>507</v>
      </c>
      <c r="F140" s="25" t="s">
        <v>568</v>
      </c>
      <c r="G140" s="26" t="s">
        <v>570</v>
      </c>
      <c r="H140" s="13" t="s">
        <v>298</v>
      </c>
      <c r="I140" s="13" t="s">
        <v>476</v>
      </c>
      <c r="J140" s="13" t="s">
        <v>331</v>
      </c>
      <c r="K140" s="13" t="s">
        <v>332</v>
      </c>
    </row>
    <row r="141" spans="1:11" ht="28" x14ac:dyDescent="0.3">
      <c r="A141" s="27" t="str">
        <f>IF(F141="00","General"&amp;INDEX(问题代码结构!$B$12:$B$20,MATCH($E141,问题代码结构!$C$12:$C$20,0)),D141&amp;F141)</f>
        <v>General04</v>
      </c>
      <c r="B141" s="24" t="str">
        <f t="shared" si="4"/>
        <v>多学科专家研讨会-通用</v>
      </c>
      <c r="C141" s="8" t="str">
        <f t="shared" si="5"/>
        <v>MN040005</v>
      </c>
      <c r="D141" s="13" t="s">
        <v>298</v>
      </c>
      <c r="E141" s="13" t="s">
        <v>507</v>
      </c>
      <c r="F141" s="25" t="s">
        <v>568</v>
      </c>
      <c r="G141" s="26" t="s">
        <v>570</v>
      </c>
      <c r="H141" s="13" t="s">
        <v>299</v>
      </c>
      <c r="I141" s="13" t="s">
        <v>477</v>
      </c>
      <c r="J141" s="13" t="s">
        <v>515</v>
      </c>
      <c r="K141" s="13" t="s">
        <v>334</v>
      </c>
    </row>
    <row r="142" spans="1:11" ht="28" x14ac:dyDescent="0.3">
      <c r="A142" s="27" t="str">
        <f>IF(F142="00","General"&amp;INDEX(问题代码结构!$B$12:$B$20,MATCH($E142,问题代码结构!$C$12:$C$20,0)),D142&amp;F142)</f>
        <v>General04</v>
      </c>
      <c r="B142" s="24" t="str">
        <f t="shared" si="4"/>
        <v>多学科专家研讨会-通用</v>
      </c>
      <c r="C142" s="8" t="str">
        <f t="shared" si="5"/>
        <v>MN040006</v>
      </c>
      <c r="D142" s="13" t="s">
        <v>298</v>
      </c>
      <c r="E142" s="13" t="s">
        <v>507</v>
      </c>
      <c r="F142" s="25" t="s">
        <v>568</v>
      </c>
      <c r="G142" s="26" t="s">
        <v>570</v>
      </c>
      <c r="H142" s="13" t="s">
        <v>300</v>
      </c>
      <c r="I142" s="13" t="s">
        <v>479</v>
      </c>
      <c r="J142" s="13" t="s">
        <v>336</v>
      </c>
      <c r="K142" s="13" t="s">
        <v>337</v>
      </c>
    </row>
    <row r="143" spans="1:11" ht="42" x14ac:dyDescent="0.3">
      <c r="A143" s="27" t="str">
        <f>IF(F143="00","General"&amp;INDEX(问题代码结构!$B$12:$B$20,MATCH($E143,问题代码结构!$C$12:$C$20,0)),D143&amp;F143)</f>
        <v>General04</v>
      </c>
      <c r="B143" s="24" t="str">
        <f t="shared" si="4"/>
        <v>多学科专家研讨会-通用</v>
      </c>
      <c r="C143" s="8" t="str">
        <f t="shared" si="5"/>
        <v>MN040007</v>
      </c>
      <c r="D143" s="13" t="s">
        <v>298</v>
      </c>
      <c r="E143" s="13" t="s">
        <v>507</v>
      </c>
      <c r="F143" s="25" t="s">
        <v>568</v>
      </c>
      <c r="G143" s="26" t="s">
        <v>570</v>
      </c>
      <c r="H143" s="13" t="s">
        <v>301</v>
      </c>
      <c r="I143" s="13" t="s">
        <v>480</v>
      </c>
      <c r="J143" s="13" t="s">
        <v>338</v>
      </c>
      <c r="K143" s="13" t="s">
        <v>337</v>
      </c>
    </row>
    <row r="144" spans="1:11" ht="28" x14ac:dyDescent="0.3">
      <c r="A144" s="27" t="str">
        <f>IF(F144="00","General"&amp;INDEX(问题代码结构!$B$12:$B$20,MATCH($E144,问题代码结构!$C$12:$C$20,0)),D144&amp;F144)</f>
        <v>General04</v>
      </c>
      <c r="B144" s="24" t="str">
        <f t="shared" si="4"/>
        <v>多学科专家研讨会-通用</v>
      </c>
      <c r="C144" s="8" t="str">
        <f t="shared" si="5"/>
        <v>MN040008</v>
      </c>
      <c r="D144" s="13" t="s">
        <v>298</v>
      </c>
      <c r="E144" s="13" t="s">
        <v>507</v>
      </c>
      <c r="F144" s="25" t="s">
        <v>568</v>
      </c>
      <c r="G144" s="26" t="s">
        <v>570</v>
      </c>
      <c r="H144" s="13" t="s">
        <v>302</v>
      </c>
      <c r="I144" s="13" t="s">
        <v>481</v>
      </c>
      <c r="J144" s="13" t="s">
        <v>339</v>
      </c>
      <c r="K144" s="13" t="s">
        <v>340</v>
      </c>
    </row>
    <row r="145" spans="1:11" ht="28" x14ac:dyDescent="0.3">
      <c r="A145" s="27" t="str">
        <f>IF(F145="00","General"&amp;INDEX(问题代码结构!$B$12:$B$20,MATCH($E145,问题代码结构!$C$12:$C$20,0)),D145&amp;F145)</f>
        <v>General04</v>
      </c>
      <c r="B145" s="24" t="str">
        <f t="shared" si="4"/>
        <v>多学科专家研讨会-通用</v>
      </c>
      <c r="C145" s="8" t="str">
        <f t="shared" si="5"/>
        <v>MN040009</v>
      </c>
      <c r="D145" s="13" t="s">
        <v>298</v>
      </c>
      <c r="E145" s="13" t="s">
        <v>507</v>
      </c>
      <c r="F145" s="25" t="s">
        <v>568</v>
      </c>
      <c r="G145" s="26" t="s">
        <v>570</v>
      </c>
      <c r="H145" s="13" t="s">
        <v>303</v>
      </c>
      <c r="I145" s="13" t="s">
        <v>482</v>
      </c>
      <c r="J145" s="13" t="s">
        <v>341</v>
      </c>
      <c r="K145" s="13" t="s">
        <v>328</v>
      </c>
    </row>
    <row r="146" spans="1:11" ht="28" x14ac:dyDescent="0.3">
      <c r="A146" s="27" t="str">
        <f>IF(F146="00","General"&amp;INDEX(问题代码结构!$B$12:$B$20,MATCH($E146,问题代码结构!$C$12:$C$20,0)),D146&amp;F146)</f>
        <v>General04</v>
      </c>
      <c r="B146" s="24" t="str">
        <f t="shared" si="4"/>
        <v>多学科专家研讨会-通用</v>
      </c>
      <c r="C146" s="8" t="str">
        <f t="shared" si="5"/>
        <v>MN040010</v>
      </c>
      <c r="D146" s="13" t="s">
        <v>298</v>
      </c>
      <c r="E146" s="13" t="s">
        <v>507</v>
      </c>
      <c r="F146" s="25" t="s">
        <v>568</v>
      </c>
      <c r="G146" s="26" t="s">
        <v>570</v>
      </c>
      <c r="H146" s="13" t="s">
        <v>304</v>
      </c>
      <c r="I146" s="13" t="s">
        <v>483</v>
      </c>
      <c r="J146" s="13" t="s">
        <v>342</v>
      </c>
      <c r="K146" s="13" t="s">
        <v>343</v>
      </c>
    </row>
    <row r="147" spans="1:11" ht="42" x14ac:dyDescent="0.3">
      <c r="A147" s="27" t="str">
        <f>IF(F147="00","General"&amp;INDEX(问题代码结构!$B$12:$B$20,MATCH($E147,问题代码结构!$C$12:$C$20,0)),D147&amp;F147)</f>
        <v>General04</v>
      </c>
      <c r="B147" s="24" t="str">
        <f t="shared" si="4"/>
        <v>多学科专家研讨会-通用</v>
      </c>
      <c r="C147" s="8" t="str">
        <f t="shared" si="5"/>
        <v>MN040011</v>
      </c>
      <c r="D147" s="13" t="s">
        <v>298</v>
      </c>
      <c r="E147" s="13" t="s">
        <v>507</v>
      </c>
      <c r="F147" s="25" t="s">
        <v>568</v>
      </c>
      <c r="G147" s="26" t="s">
        <v>570</v>
      </c>
      <c r="H147" s="13" t="s">
        <v>305</v>
      </c>
      <c r="I147" s="13" t="s">
        <v>484</v>
      </c>
      <c r="J147" s="13" t="s">
        <v>344</v>
      </c>
      <c r="K147" s="13" t="s">
        <v>345</v>
      </c>
    </row>
    <row r="148" spans="1:11" ht="28" x14ac:dyDescent="0.3">
      <c r="A148" s="27" t="str">
        <f>IF(F148="00","General"&amp;INDEX(问题代码结构!$B$12:$B$20,MATCH($E148,问题代码结构!$C$12:$C$20,0)),D148&amp;F148)</f>
        <v>General04</v>
      </c>
      <c r="B148" s="24" t="str">
        <f t="shared" si="4"/>
        <v>多学科专家研讨会-通用</v>
      </c>
      <c r="C148" s="8" t="str">
        <f t="shared" si="5"/>
        <v>MN040012</v>
      </c>
      <c r="D148" s="13" t="s">
        <v>298</v>
      </c>
      <c r="E148" s="13" t="s">
        <v>507</v>
      </c>
      <c r="F148" s="25" t="s">
        <v>568</v>
      </c>
      <c r="G148" s="26" t="s">
        <v>570</v>
      </c>
      <c r="H148" s="13" t="s">
        <v>306</v>
      </c>
      <c r="I148" s="13" t="s">
        <v>485</v>
      </c>
      <c r="J148" s="13" t="s">
        <v>346</v>
      </c>
      <c r="K148" s="13" t="s">
        <v>347</v>
      </c>
    </row>
    <row r="149" spans="1:11" ht="28" x14ac:dyDescent="0.3">
      <c r="A149" s="27" t="str">
        <f>IF(F149="00","General"&amp;INDEX(问题代码结构!$B$12:$B$20,MATCH($E149,问题代码结构!$C$12:$C$20,0)),D149&amp;F149)</f>
        <v>General04</v>
      </c>
      <c r="B149" s="24" t="str">
        <f t="shared" si="4"/>
        <v>多学科专家研讨会-通用</v>
      </c>
      <c r="C149" s="8" t="str">
        <f t="shared" si="5"/>
        <v>MN040013</v>
      </c>
      <c r="D149" s="13" t="s">
        <v>298</v>
      </c>
      <c r="E149" s="13" t="s">
        <v>507</v>
      </c>
      <c r="F149" s="25" t="s">
        <v>568</v>
      </c>
      <c r="G149" s="26" t="s">
        <v>570</v>
      </c>
      <c r="H149" s="13" t="s">
        <v>307</v>
      </c>
      <c r="I149" s="13" t="s">
        <v>486</v>
      </c>
      <c r="J149" s="13" t="s">
        <v>348</v>
      </c>
      <c r="K149" s="13" t="s">
        <v>347</v>
      </c>
    </row>
    <row r="150" spans="1:11" ht="42" x14ac:dyDescent="0.3">
      <c r="A150" s="27" t="str">
        <f>IF(F150="00","General"&amp;INDEX(问题代码结构!$B$12:$B$20,MATCH($E150,问题代码结构!$C$12:$C$20,0)),D150&amp;F150)</f>
        <v>General04</v>
      </c>
      <c r="B150" s="24" t="str">
        <f t="shared" si="4"/>
        <v>多学科专家研讨会-通用</v>
      </c>
      <c r="C150" s="8" t="str">
        <f t="shared" si="5"/>
        <v>MN040014</v>
      </c>
      <c r="D150" s="13" t="s">
        <v>298</v>
      </c>
      <c r="E150" s="13" t="s">
        <v>507</v>
      </c>
      <c r="F150" s="25" t="s">
        <v>568</v>
      </c>
      <c r="G150" s="26" t="s">
        <v>570</v>
      </c>
      <c r="H150" s="13" t="s">
        <v>308</v>
      </c>
      <c r="I150" s="13" t="s">
        <v>487</v>
      </c>
      <c r="J150" s="13" t="s">
        <v>349</v>
      </c>
      <c r="K150" s="13" t="s">
        <v>347</v>
      </c>
    </row>
    <row r="151" spans="1:11" ht="28" x14ac:dyDescent="0.3">
      <c r="A151" s="27" t="str">
        <f>IF(F151="00","General"&amp;INDEX(问题代码结构!$B$12:$B$20,MATCH($E151,问题代码结构!$C$12:$C$20,0)),D151&amp;F151)</f>
        <v>General04</v>
      </c>
      <c r="B151" s="24" t="str">
        <f t="shared" si="4"/>
        <v>多学科专家研讨会-通用</v>
      </c>
      <c r="C151" s="8" t="str">
        <f t="shared" si="5"/>
        <v>MN040015</v>
      </c>
      <c r="D151" s="13" t="s">
        <v>298</v>
      </c>
      <c r="E151" s="13" t="s">
        <v>507</v>
      </c>
      <c r="F151" s="25" t="s">
        <v>568</v>
      </c>
      <c r="G151" s="26" t="s">
        <v>570</v>
      </c>
      <c r="H151" s="13" t="s">
        <v>309</v>
      </c>
      <c r="I151" s="13" t="s">
        <v>488</v>
      </c>
      <c r="J151" s="13" t="s">
        <v>350</v>
      </c>
      <c r="K151" s="13" t="s">
        <v>347</v>
      </c>
    </row>
    <row r="152" spans="1:11" ht="28" x14ac:dyDescent="0.3">
      <c r="A152" s="27" t="str">
        <f>IF(F152="00","General"&amp;INDEX(问题代码结构!$B$12:$B$20,MATCH($E152,问题代码结构!$C$12:$C$20,0)),D152&amp;F152)</f>
        <v>General04</v>
      </c>
      <c r="B152" s="24" t="str">
        <f t="shared" si="4"/>
        <v>多学科专家研讨会-通用</v>
      </c>
      <c r="C152" s="8" t="str">
        <f t="shared" si="5"/>
        <v>MN040016</v>
      </c>
      <c r="D152" s="13" t="s">
        <v>298</v>
      </c>
      <c r="E152" s="13" t="s">
        <v>507</v>
      </c>
      <c r="F152" s="25" t="s">
        <v>568</v>
      </c>
      <c r="G152" s="26" t="s">
        <v>570</v>
      </c>
      <c r="H152" s="13" t="s">
        <v>310</v>
      </c>
      <c r="I152" s="13" t="s">
        <v>489</v>
      </c>
      <c r="J152" s="13" t="s">
        <v>516</v>
      </c>
      <c r="K152" s="13" t="s">
        <v>347</v>
      </c>
    </row>
    <row r="153" spans="1:11" ht="28" x14ac:dyDescent="0.3">
      <c r="A153" s="27" t="str">
        <f>IF(F153="00","General"&amp;INDEX(问题代码结构!$B$12:$B$20,MATCH($E153,问题代码结构!$C$12:$C$20,0)),D153&amp;F153)</f>
        <v>General04</v>
      </c>
      <c r="B153" s="24" t="str">
        <f t="shared" si="4"/>
        <v>多学科专家研讨会-通用</v>
      </c>
      <c r="C153" s="8" t="str">
        <f t="shared" si="5"/>
        <v>MN040017</v>
      </c>
      <c r="D153" s="13" t="s">
        <v>298</v>
      </c>
      <c r="E153" s="13" t="s">
        <v>507</v>
      </c>
      <c r="F153" s="25" t="s">
        <v>568</v>
      </c>
      <c r="G153" s="26" t="s">
        <v>570</v>
      </c>
      <c r="H153" s="13" t="s">
        <v>311</v>
      </c>
      <c r="I153" s="13" t="s">
        <v>490</v>
      </c>
      <c r="J153" s="13" t="s">
        <v>517</v>
      </c>
      <c r="K153" s="13" t="s">
        <v>353</v>
      </c>
    </row>
    <row r="154" spans="1:11" ht="42" x14ac:dyDescent="0.3">
      <c r="A154" s="27" t="str">
        <f>IF(F154="00","General"&amp;INDEX(问题代码结构!$B$12:$B$20,MATCH($E154,问题代码结构!$C$12:$C$20,0)),D154&amp;F154)</f>
        <v>General04</v>
      </c>
      <c r="B154" s="24" t="str">
        <f t="shared" si="4"/>
        <v>多学科专家研讨会-通用</v>
      </c>
      <c r="C154" s="8" t="str">
        <f t="shared" si="5"/>
        <v>MN040018</v>
      </c>
      <c r="D154" s="13" t="s">
        <v>298</v>
      </c>
      <c r="E154" s="13" t="s">
        <v>507</v>
      </c>
      <c r="F154" s="25" t="s">
        <v>568</v>
      </c>
      <c r="G154" s="26" t="s">
        <v>570</v>
      </c>
      <c r="H154" s="13" t="s">
        <v>312</v>
      </c>
      <c r="I154" s="13" t="s">
        <v>492</v>
      </c>
      <c r="J154" s="13" t="s">
        <v>356</v>
      </c>
      <c r="K154" s="13" t="s">
        <v>357</v>
      </c>
    </row>
    <row r="155" spans="1:11" ht="28" x14ac:dyDescent="0.3">
      <c r="A155" s="27" t="str">
        <f>IF(F155="00","General"&amp;INDEX(问题代码结构!$B$12:$B$20,MATCH($E155,问题代码结构!$C$12:$C$20,0)),D155&amp;F155)</f>
        <v>General04</v>
      </c>
      <c r="B155" s="24" t="str">
        <f t="shared" si="4"/>
        <v>多学科专家研讨会-通用</v>
      </c>
      <c r="C155" s="8" t="str">
        <f t="shared" si="5"/>
        <v>MN040019</v>
      </c>
      <c r="D155" s="13" t="s">
        <v>298</v>
      </c>
      <c r="E155" s="13" t="s">
        <v>507</v>
      </c>
      <c r="F155" s="25" t="s">
        <v>568</v>
      </c>
      <c r="G155" s="26" t="s">
        <v>570</v>
      </c>
      <c r="H155" s="13" t="s">
        <v>313</v>
      </c>
      <c r="I155" s="13" t="s">
        <v>493</v>
      </c>
      <c r="J155" s="13" t="s">
        <v>518</v>
      </c>
      <c r="K155" s="13" t="s">
        <v>359</v>
      </c>
    </row>
    <row r="156" spans="1:11" ht="28" x14ac:dyDescent="0.3">
      <c r="A156" s="27" t="str">
        <f>IF(F156="00","General"&amp;INDEX(问题代码结构!$B$12:$B$20,MATCH($E156,问题代码结构!$C$12:$C$20,0)),D156&amp;F156)</f>
        <v>0402</v>
      </c>
      <c r="B156" s="24" t="str">
        <f t="shared" si="4"/>
        <v>多学科专家研讨会-会议餐费</v>
      </c>
      <c r="C156" s="8" t="str">
        <f t="shared" si="5"/>
        <v>MN040201</v>
      </c>
      <c r="D156" s="13" t="s">
        <v>298</v>
      </c>
      <c r="E156" s="13" t="s">
        <v>507</v>
      </c>
      <c r="F156" s="13" t="s">
        <v>296</v>
      </c>
      <c r="G156" s="13" t="s">
        <v>432</v>
      </c>
      <c r="H156" s="13" t="s">
        <v>295</v>
      </c>
      <c r="I156" s="13" t="s">
        <v>382</v>
      </c>
      <c r="J156" s="13" t="s">
        <v>383</v>
      </c>
      <c r="K156" s="13" t="s">
        <v>328</v>
      </c>
    </row>
    <row r="157" spans="1:11" ht="28" x14ac:dyDescent="0.3">
      <c r="A157" s="27" t="str">
        <f>IF(F157="00","General"&amp;INDEX(问题代码结构!$B$12:$B$20,MATCH($E157,问题代码结构!$C$12:$C$20,0)),D157&amp;F157)</f>
        <v>0402</v>
      </c>
      <c r="B157" s="24" t="str">
        <f t="shared" si="4"/>
        <v>多学科专家研讨会-会议餐费</v>
      </c>
      <c r="C157" s="8" t="str">
        <f t="shared" si="5"/>
        <v>MN040202</v>
      </c>
      <c r="D157" s="13" t="s">
        <v>298</v>
      </c>
      <c r="E157" s="13" t="s">
        <v>507</v>
      </c>
      <c r="F157" s="13" t="s">
        <v>296</v>
      </c>
      <c r="G157" s="13" t="s">
        <v>432</v>
      </c>
      <c r="H157" s="13" t="s">
        <v>296</v>
      </c>
      <c r="I157" s="13" t="s">
        <v>384</v>
      </c>
      <c r="J157" s="13" t="s">
        <v>385</v>
      </c>
      <c r="K157" s="13" t="s">
        <v>386</v>
      </c>
    </row>
    <row r="158" spans="1:11" ht="28" x14ac:dyDescent="0.3">
      <c r="A158" s="27" t="str">
        <f>IF(F158="00","General"&amp;INDEX(问题代码结构!$B$12:$B$20,MATCH($E158,问题代码结构!$C$12:$C$20,0)),D158&amp;F158)</f>
        <v>0402</v>
      </c>
      <c r="B158" s="24" t="str">
        <f t="shared" si="4"/>
        <v>多学科专家研讨会-会议餐费</v>
      </c>
      <c r="C158" s="8" t="str">
        <f t="shared" si="5"/>
        <v>MN040203</v>
      </c>
      <c r="D158" s="13" t="s">
        <v>298</v>
      </c>
      <c r="E158" s="13" t="s">
        <v>507</v>
      </c>
      <c r="F158" s="13" t="s">
        <v>296</v>
      </c>
      <c r="G158" s="13" t="s">
        <v>432</v>
      </c>
      <c r="H158" s="13" t="s">
        <v>297</v>
      </c>
      <c r="I158" s="13" t="s">
        <v>387</v>
      </c>
      <c r="J158" s="13" t="s">
        <v>388</v>
      </c>
      <c r="K158" s="13" t="s">
        <v>328</v>
      </c>
    </row>
    <row r="159" spans="1:11" ht="28" x14ac:dyDescent="0.3">
      <c r="A159" s="27" t="str">
        <f>IF(F159="00","General"&amp;INDEX(问题代码结构!$B$12:$B$20,MATCH($E159,问题代码结构!$C$12:$C$20,0)),D159&amp;F159)</f>
        <v>0402</v>
      </c>
      <c r="B159" s="24" t="str">
        <f t="shared" si="4"/>
        <v>多学科专家研讨会-会议餐费</v>
      </c>
      <c r="C159" s="8" t="str">
        <f t="shared" si="5"/>
        <v>MN040204</v>
      </c>
      <c r="D159" s="13" t="s">
        <v>298</v>
      </c>
      <c r="E159" s="13" t="s">
        <v>507</v>
      </c>
      <c r="F159" s="13" t="s">
        <v>296</v>
      </c>
      <c r="G159" s="13" t="s">
        <v>432</v>
      </c>
      <c r="H159" s="13" t="s">
        <v>298</v>
      </c>
      <c r="I159" s="13" t="s">
        <v>389</v>
      </c>
      <c r="J159" s="13" t="s">
        <v>390</v>
      </c>
      <c r="K159" s="13" t="s">
        <v>391</v>
      </c>
    </row>
    <row r="160" spans="1:11" ht="28" x14ac:dyDescent="0.3">
      <c r="A160" s="27" t="str">
        <f>IF(F160="00","General"&amp;INDEX(问题代码结构!$B$12:$B$20,MATCH($E160,问题代码结构!$C$12:$C$20,0)),D160&amp;F160)</f>
        <v>0402</v>
      </c>
      <c r="B160" s="24" t="str">
        <f t="shared" si="4"/>
        <v>多学科专家研讨会-会议餐费</v>
      </c>
      <c r="C160" s="8" t="str">
        <f t="shared" si="5"/>
        <v>MN040205</v>
      </c>
      <c r="D160" s="13" t="s">
        <v>298</v>
      </c>
      <c r="E160" s="13" t="s">
        <v>507</v>
      </c>
      <c r="F160" s="13" t="s">
        <v>296</v>
      </c>
      <c r="G160" s="13" t="s">
        <v>432</v>
      </c>
      <c r="H160" s="13" t="s">
        <v>299</v>
      </c>
      <c r="I160" s="13" t="s">
        <v>392</v>
      </c>
      <c r="J160" s="13" t="s">
        <v>393</v>
      </c>
      <c r="K160" s="13" t="s">
        <v>328</v>
      </c>
    </row>
    <row r="161" spans="1:11" ht="28" x14ac:dyDescent="0.3">
      <c r="A161" s="27" t="str">
        <f>IF(F161="00","General"&amp;INDEX(问题代码结构!$B$12:$B$20,MATCH($E161,问题代码结构!$C$12:$C$20,0)),D161&amp;F161)</f>
        <v>0402</v>
      </c>
      <c r="B161" s="24" t="str">
        <f t="shared" si="4"/>
        <v>多学科专家研讨会-会议餐费</v>
      </c>
      <c r="C161" s="8" t="str">
        <f t="shared" si="5"/>
        <v>MN040206</v>
      </c>
      <c r="D161" s="13" t="s">
        <v>298</v>
      </c>
      <c r="E161" s="13" t="s">
        <v>507</v>
      </c>
      <c r="F161" s="13" t="s">
        <v>296</v>
      </c>
      <c r="G161" s="13" t="s">
        <v>432</v>
      </c>
      <c r="H161" s="13" t="s">
        <v>300</v>
      </c>
      <c r="I161" s="13" t="s">
        <v>394</v>
      </c>
      <c r="J161" s="13" t="s">
        <v>395</v>
      </c>
      <c r="K161" s="13" t="s">
        <v>396</v>
      </c>
    </row>
    <row r="162" spans="1:11" ht="42" x14ac:dyDescent="0.3">
      <c r="A162" s="27" t="str">
        <f>IF(F162="00","General"&amp;INDEX(问题代码结构!$B$12:$B$20,MATCH($E162,问题代码结构!$C$12:$C$20,0)),D162&amp;F162)</f>
        <v>0403</v>
      </c>
      <c r="B162" s="24" t="str">
        <f t="shared" si="4"/>
        <v>多学科专家研讨会-会议交通费</v>
      </c>
      <c r="C162" s="8" t="str">
        <f t="shared" si="5"/>
        <v>MN040301</v>
      </c>
      <c r="D162" s="13" t="s">
        <v>298</v>
      </c>
      <c r="E162" s="13" t="s">
        <v>507</v>
      </c>
      <c r="F162" s="13" t="s">
        <v>297</v>
      </c>
      <c r="G162" s="13" t="s">
        <v>433</v>
      </c>
      <c r="H162" s="13" t="s">
        <v>295</v>
      </c>
      <c r="I162" s="13" t="s">
        <v>397</v>
      </c>
      <c r="J162" s="13" t="s">
        <v>398</v>
      </c>
      <c r="K162" s="13" t="s">
        <v>328</v>
      </c>
    </row>
    <row r="163" spans="1:11" ht="42" x14ac:dyDescent="0.3">
      <c r="A163" s="27" t="str">
        <f>IF(F163="00","General"&amp;INDEX(问题代码结构!$B$12:$B$20,MATCH($E163,问题代码结构!$C$12:$C$20,0)),D163&amp;F163)</f>
        <v>0404</v>
      </c>
      <c r="B163" s="24" t="str">
        <f t="shared" si="4"/>
        <v>多学科专家研讨会-会议租车费</v>
      </c>
      <c r="C163" s="8" t="str">
        <f t="shared" si="5"/>
        <v>MN040401</v>
      </c>
      <c r="D163" s="13" t="s">
        <v>298</v>
      </c>
      <c r="E163" s="13" t="s">
        <v>507</v>
      </c>
      <c r="F163" s="13" t="s">
        <v>298</v>
      </c>
      <c r="G163" s="13" t="s">
        <v>434</v>
      </c>
      <c r="H163" s="13" t="s">
        <v>295</v>
      </c>
      <c r="I163" s="13" t="s">
        <v>399</v>
      </c>
      <c r="J163" s="13" t="s">
        <v>400</v>
      </c>
      <c r="K163" s="13" t="s">
        <v>332</v>
      </c>
    </row>
    <row r="164" spans="1:11" ht="28" x14ac:dyDescent="0.3">
      <c r="A164" s="27" t="str">
        <f>IF(F164="00","General"&amp;INDEX(问题代码结构!$B$12:$B$20,MATCH($E164,问题代码结构!$C$12:$C$20,0)),D164&amp;F164)</f>
        <v>0404</v>
      </c>
      <c r="B164" s="24" t="str">
        <f t="shared" si="4"/>
        <v>多学科专家研讨会-会议租车费</v>
      </c>
      <c r="C164" s="8" t="str">
        <f t="shared" si="5"/>
        <v>MN040402</v>
      </c>
      <c r="D164" s="13" t="s">
        <v>298</v>
      </c>
      <c r="E164" s="13" t="s">
        <v>507</v>
      </c>
      <c r="F164" s="13" t="s">
        <v>298</v>
      </c>
      <c r="G164" s="13" t="s">
        <v>434</v>
      </c>
      <c r="H164" s="13" t="s">
        <v>296</v>
      </c>
      <c r="I164" s="13" t="s">
        <v>392</v>
      </c>
      <c r="J164" s="13" t="s">
        <v>393</v>
      </c>
      <c r="K164" s="13" t="s">
        <v>328</v>
      </c>
    </row>
    <row r="165" spans="1:11" ht="28" x14ac:dyDescent="0.3">
      <c r="A165" s="27" t="str">
        <f>IF(F165="00","General"&amp;INDEX(问题代码结构!$B$12:$B$20,MATCH($E165,问题代码结构!$C$12:$C$20,0)),D165&amp;F165)</f>
        <v>0404</v>
      </c>
      <c r="B165" s="24" t="str">
        <f t="shared" si="4"/>
        <v>多学科专家研讨会-会议租车费</v>
      </c>
      <c r="C165" s="8" t="str">
        <f t="shared" si="5"/>
        <v>MN040403</v>
      </c>
      <c r="D165" s="13" t="s">
        <v>298</v>
      </c>
      <c r="E165" s="13" t="s">
        <v>507</v>
      </c>
      <c r="F165" s="13" t="s">
        <v>298</v>
      </c>
      <c r="G165" s="13" t="s">
        <v>434</v>
      </c>
      <c r="H165" s="13" t="s">
        <v>297</v>
      </c>
      <c r="I165" s="13" t="s">
        <v>394</v>
      </c>
      <c r="J165" s="13" t="s">
        <v>395</v>
      </c>
      <c r="K165" s="13" t="s">
        <v>396</v>
      </c>
    </row>
    <row r="166" spans="1:11" ht="42" x14ac:dyDescent="0.3">
      <c r="A166" s="27" t="str">
        <f>IF(F166="00","General"&amp;INDEX(问题代码结构!$B$12:$B$20,MATCH($E166,问题代码结构!$C$12:$C$20,0)),D166&amp;F166)</f>
        <v>0405</v>
      </c>
      <c r="B166" s="24" t="str">
        <f t="shared" si="4"/>
        <v>多学科专家研讨会-会议火车票</v>
      </c>
      <c r="C166" s="8" t="str">
        <f t="shared" si="5"/>
        <v>MN040501</v>
      </c>
      <c r="D166" s="13" t="s">
        <v>298</v>
      </c>
      <c r="E166" s="13" t="s">
        <v>507</v>
      </c>
      <c r="F166" s="13" t="s">
        <v>299</v>
      </c>
      <c r="G166" s="13" t="s">
        <v>435</v>
      </c>
      <c r="H166" s="13" t="s">
        <v>295</v>
      </c>
      <c r="I166" s="13" t="s">
        <v>401</v>
      </c>
      <c r="J166" s="13" t="s">
        <v>402</v>
      </c>
      <c r="K166" s="13" t="s">
        <v>328</v>
      </c>
    </row>
    <row r="167" spans="1:11" ht="28" x14ac:dyDescent="0.3">
      <c r="A167" s="27" t="str">
        <f>IF(F167="00","General"&amp;INDEX(问题代码结构!$B$12:$B$20,MATCH($E167,问题代码结构!$C$12:$C$20,0)),D167&amp;F167)</f>
        <v>0406</v>
      </c>
      <c r="B167" s="24" t="str">
        <f t="shared" si="4"/>
        <v>多学科专家研讨会-会议茶歇</v>
      </c>
      <c r="C167" s="8" t="str">
        <f t="shared" si="5"/>
        <v>MN040601</v>
      </c>
      <c r="D167" s="13" t="s">
        <v>298</v>
      </c>
      <c r="E167" s="13" t="s">
        <v>507</v>
      </c>
      <c r="F167" s="13" t="s">
        <v>300</v>
      </c>
      <c r="G167" s="13" t="s">
        <v>436</v>
      </c>
      <c r="H167" s="13" t="s">
        <v>295</v>
      </c>
      <c r="I167" s="13" t="s">
        <v>403</v>
      </c>
      <c r="J167" s="13" t="s">
        <v>404</v>
      </c>
      <c r="K167" s="13" t="s">
        <v>386</v>
      </c>
    </row>
    <row r="168" spans="1:11" ht="28" x14ac:dyDescent="0.3">
      <c r="A168" s="27" t="str">
        <f>IF(F168="00","General"&amp;INDEX(问题代码结构!$B$12:$B$20,MATCH($E168,问题代码结构!$C$12:$C$20,0)),D168&amp;F168)</f>
        <v>0406</v>
      </c>
      <c r="B168" s="24" t="str">
        <f t="shared" si="4"/>
        <v>多学科专家研讨会-会议茶歇</v>
      </c>
      <c r="C168" s="8" t="str">
        <f t="shared" si="5"/>
        <v>MN040602</v>
      </c>
      <c r="D168" s="13" t="s">
        <v>298</v>
      </c>
      <c r="E168" s="13" t="s">
        <v>507</v>
      </c>
      <c r="F168" s="13" t="s">
        <v>300</v>
      </c>
      <c r="G168" s="13" t="s">
        <v>436</v>
      </c>
      <c r="H168" s="13" t="s">
        <v>296</v>
      </c>
      <c r="I168" s="13" t="s">
        <v>405</v>
      </c>
      <c r="J168" s="13" t="s">
        <v>406</v>
      </c>
      <c r="K168" s="13" t="s">
        <v>328</v>
      </c>
    </row>
    <row r="169" spans="1:11" ht="28" x14ac:dyDescent="0.3">
      <c r="A169" s="27" t="str">
        <f>IF(F169="00","General"&amp;INDEX(问题代码结构!$B$12:$B$20,MATCH($E169,问题代码结构!$C$12:$C$20,0)),D169&amp;F169)</f>
        <v>0406</v>
      </c>
      <c r="B169" s="24" t="str">
        <f t="shared" si="4"/>
        <v>多学科专家研讨会-会议茶歇</v>
      </c>
      <c r="C169" s="8" t="str">
        <f t="shared" si="5"/>
        <v>MN040603</v>
      </c>
      <c r="D169" s="13" t="s">
        <v>298</v>
      </c>
      <c r="E169" s="13" t="s">
        <v>507</v>
      </c>
      <c r="F169" s="13" t="s">
        <v>300</v>
      </c>
      <c r="G169" s="13" t="s">
        <v>436</v>
      </c>
      <c r="H169" s="13" t="s">
        <v>297</v>
      </c>
      <c r="I169" s="13" t="s">
        <v>392</v>
      </c>
      <c r="J169" s="13" t="s">
        <v>393</v>
      </c>
      <c r="K169" s="13" t="s">
        <v>328</v>
      </c>
    </row>
    <row r="170" spans="1:11" ht="28" x14ac:dyDescent="0.3">
      <c r="A170" s="27" t="str">
        <f>IF(F170="00","General"&amp;INDEX(问题代码结构!$B$12:$B$20,MATCH($E170,问题代码结构!$C$12:$C$20,0)),D170&amp;F170)</f>
        <v>0406</v>
      </c>
      <c r="B170" s="24" t="str">
        <f t="shared" si="4"/>
        <v>多学科专家研讨会-会议茶歇</v>
      </c>
      <c r="C170" s="8" t="str">
        <f t="shared" si="5"/>
        <v>MN040604</v>
      </c>
      <c r="D170" s="13" t="s">
        <v>298</v>
      </c>
      <c r="E170" s="13" t="s">
        <v>507</v>
      </c>
      <c r="F170" s="13" t="s">
        <v>300</v>
      </c>
      <c r="G170" s="13" t="s">
        <v>436</v>
      </c>
      <c r="H170" s="13" t="s">
        <v>298</v>
      </c>
      <c r="I170" s="13" t="s">
        <v>394</v>
      </c>
      <c r="J170" s="13" t="s">
        <v>395</v>
      </c>
      <c r="K170" s="13" t="s">
        <v>396</v>
      </c>
    </row>
    <row r="171" spans="1:11" ht="28" x14ac:dyDescent="0.3">
      <c r="A171" s="27" t="str">
        <f>IF(F171="00","General"&amp;INDEX(问题代码结构!$B$12:$B$20,MATCH($E171,问题代码结构!$C$12:$C$20,0)),D171&amp;F171)</f>
        <v>0407</v>
      </c>
      <c r="B171" s="24" t="str">
        <f t="shared" si="4"/>
        <v>多学科专家研讨会-会议场租</v>
      </c>
      <c r="C171" s="8" t="str">
        <f t="shared" si="5"/>
        <v>MN040701</v>
      </c>
      <c r="D171" s="13" t="s">
        <v>298</v>
      </c>
      <c r="E171" s="13" t="s">
        <v>507</v>
      </c>
      <c r="F171" s="13" t="s">
        <v>301</v>
      </c>
      <c r="G171" s="13" t="s">
        <v>437</v>
      </c>
      <c r="H171" s="13" t="s">
        <v>295</v>
      </c>
      <c r="I171" s="13" t="s">
        <v>392</v>
      </c>
      <c r="J171" s="13" t="s">
        <v>393</v>
      </c>
      <c r="K171" s="13" t="s">
        <v>328</v>
      </c>
    </row>
    <row r="172" spans="1:11" ht="28" x14ac:dyDescent="0.3">
      <c r="A172" s="27" t="str">
        <f>IF(F172="00","General"&amp;INDEX(问题代码结构!$B$12:$B$20,MATCH($E172,问题代码结构!$C$12:$C$20,0)),D172&amp;F172)</f>
        <v>0407</v>
      </c>
      <c r="B172" s="24" t="str">
        <f t="shared" si="4"/>
        <v>多学科专家研讨会-会议场租</v>
      </c>
      <c r="C172" s="8" t="str">
        <f t="shared" si="5"/>
        <v>MN040702</v>
      </c>
      <c r="D172" s="13" t="s">
        <v>298</v>
      </c>
      <c r="E172" s="13" t="s">
        <v>507</v>
      </c>
      <c r="F172" s="13" t="s">
        <v>301</v>
      </c>
      <c r="G172" s="13" t="s">
        <v>437</v>
      </c>
      <c r="H172" s="13" t="s">
        <v>296</v>
      </c>
      <c r="I172" s="13" t="s">
        <v>394</v>
      </c>
      <c r="J172" s="13" t="s">
        <v>395</v>
      </c>
      <c r="K172" s="13" t="s">
        <v>396</v>
      </c>
    </row>
    <row r="173" spans="1:11" ht="42" x14ac:dyDescent="0.3">
      <c r="A173" s="27" t="str">
        <f>IF(F173="00","General"&amp;INDEX(问题代码结构!$B$12:$B$20,MATCH($E173,问题代码结构!$C$12:$C$20,0)),D173&amp;F173)</f>
        <v>0408</v>
      </c>
      <c r="B173" s="24" t="str">
        <f t="shared" si="4"/>
        <v>多学科专家研讨会-会议个人车辆</v>
      </c>
      <c r="C173" s="8" t="str">
        <f t="shared" si="5"/>
        <v>MN040801</v>
      </c>
      <c r="D173" s="13" t="s">
        <v>298</v>
      </c>
      <c r="E173" s="13" t="s">
        <v>507</v>
      </c>
      <c r="F173" s="13" t="s">
        <v>302</v>
      </c>
      <c r="G173" s="13" t="s">
        <v>438</v>
      </c>
      <c r="H173" s="13" t="s">
        <v>295</v>
      </c>
      <c r="I173" s="13" t="s">
        <v>392</v>
      </c>
      <c r="J173" s="13" t="s">
        <v>393</v>
      </c>
      <c r="K173" s="13" t="s">
        <v>328</v>
      </c>
    </row>
    <row r="174" spans="1:11" ht="42" x14ac:dyDescent="0.3">
      <c r="A174" s="27" t="str">
        <f>IF(F174="00","General"&amp;INDEX(问题代码结构!$B$12:$B$20,MATCH($E174,问题代码结构!$C$12:$C$20,0)),D174&amp;F174)</f>
        <v>0408</v>
      </c>
      <c r="B174" s="24" t="str">
        <f t="shared" si="4"/>
        <v>多学科专家研讨会-会议个人车辆</v>
      </c>
      <c r="C174" s="8" t="str">
        <f t="shared" si="5"/>
        <v>MN040802</v>
      </c>
      <c r="D174" s="13" t="s">
        <v>298</v>
      </c>
      <c r="E174" s="13" t="s">
        <v>507</v>
      </c>
      <c r="F174" s="13" t="s">
        <v>302</v>
      </c>
      <c r="G174" s="13" t="s">
        <v>438</v>
      </c>
      <c r="H174" s="13" t="s">
        <v>296</v>
      </c>
      <c r="I174" s="13" t="s">
        <v>394</v>
      </c>
      <c r="J174" s="13" t="s">
        <v>395</v>
      </c>
      <c r="K174" s="13" t="s">
        <v>396</v>
      </c>
    </row>
    <row r="175" spans="1:11" ht="42" x14ac:dyDescent="0.3">
      <c r="A175" s="27" t="str">
        <f>IF(F175="00","General"&amp;INDEX(问题代码结构!$B$12:$B$20,MATCH($E175,问题代码结构!$C$12:$C$20,0)),D175&amp;F175)</f>
        <v>0409</v>
      </c>
      <c r="B175" s="24" t="str">
        <f t="shared" si="4"/>
        <v>多学科专家研讨会-会议推广材料制作</v>
      </c>
      <c r="C175" s="8" t="str">
        <f t="shared" si="5"/>
        <v>MN040901</v>
      </c>
      <c r="D175" s="13" t="s">
        <v>298</v>
      </c>
      <c r="E175" s="13" t="s">
        <v>507</v>
      </c>
      <c r="F175" s="13" t="s">
        <v>303</v>
      </c>
      <c r="G175" s="13" t="s">
        <v>439</v>
      </c>
      <c r="H175" s="13" t="s">
        <v>295</v>
      </c>
      <c r="I175" s="13" t="s">
        <v>392</v>
      </c>
      <c r="J175" s="13" t="s">
        <v>393</v>
      </c>
      <c r="K175" s="13" t="s">
        <v>328</v>
      </c>
    </row>
    <row r="176" spans="1:11" ht="42" x14ac:dyDescent="0.3">
      <c r="A176" s="27" t="str">
        <f>IF(F176="00","General"&amp;INDEX(问题代码结构!$B$12:$B$20,MATCH($E176,问题代码结构!$C$12:$C$20,0)),D176&amp;F176)</f>
        <v>0409</v>
      </c>
      <c r="B176" s="24" t="str">
        <f t="shared" si="4"/>
        <v>多学科专家研讨会-会议推广材料制作</v>
      </c>
      <c r="C176" s="8" t="str">
        <f t="shared" si="5"/>
        <v>MN040902</v>
      </c>
      <c r="D176" s="13" t="s">
        <v>298</v>
      </c>
      <c r="E176" s="13" t="s">
        <v>507</v>
      </c>
      <c r="F176" s="13" t="s">
        <v>303</v>
      </c>
      <c r="G176" s="13" t="s">
        <v>439</v>
      </c>
      <c r="H176" s="13" t="s">
        <v>296</v>
      </c>
      <c r="I176" s="13" t="s">
        <v>394</v>
      </c>
      <c r="J176" s="13" t="s">
        <v>395</v>
      </c>
      <c r="K176" s="13" t="s">
        <v>396</v>
      </c>
    </row>
    <row r="177" spans="1:11" ht="56" x14ac:dyDescent="0.3">
      <c r="A177" s="27" t="str">
        <f>IF(F177="00","General"&amp;INDEX(问题代码结构!$B$12:$B$20,MATCH($E177,问题代码结构!$C$12:$C$20,0)),D177&amp;F177)</f>
        <v>0410</v>
      </c>
      <c r="B177" s="24" t="str">
        <f t="shared" si="4"/>
        <v>多学科专家研讨会-会议住宿费</v>
      </c>
      <c r="C177" s="8" t="str">
        <f t="shared" si="5"/>
        <v>MN041001</v>
      </c>
      <c r="D177" s="13" t="s">
        <v>298</v>
      </c>
      <c r="E177" s="13" t="s">
        <v>507</v>
      </c>
      <c r="F177" s="13" t="s">
        <v>304</v>
      </c>
      <c r="G177" s="13" t="s">
        <v>440</v>
      </c>
      <c r="H177" s="13" t="s">
        <v>295</v>
      </c>
      <c r="I177" s="13" t="s">
        <v>407</v>
      </c>
      <c r="J177" s="13" t="s">
        <v>408</v>
      </c>
      <c r="K177" s="13" t="s">
        <v>328</v>
      </c>
    </row>
    <row r="178" spans="1:11" ht="28" x14ac:dyDescent="0.3">
      <c r="A178" s="27" t="str">
        <f>IF(F178="00","General"&amp;INDEX(问题代码结构!$B$12:$B$20,MATCH($E178,问题代码结构!$C$12:$C$20,0)),D178&amp;F178)</f>
        <v>0410</v>
      </c>
      <c r="B178" s="24" t="str">
        <f t="shared" si="4"/>
        <v>多学科专家研讨会-会议住宿费</v>
      </c>
      <c r="C178" s="8" t="str">
        <f t="shared" si="5"/>
        <v>MN041002</v>
      </c>
      <c r="D178" s="13" t="s">
        <v>298</v>
      </c>
      <c r="E178" s="13" t="s">
        <v>507</v>
      </c>
      <c r="F178" s="13" t="s">
        <v>304</v>
      </c>
      <c r="G178" s="13" t="s">
        <v>440</v>
      </c>
      <c r="H178" s="13" t="s">
        <v>296</v>
      </c>
      <c r="I178" s="13" t="s">
        <v>392</v>
      </c>
      <c r="J178" s="13" t="s">
        <v>393</v>
      </c>
      <c r="K178" s="13" t="s">
        <v>328</v>
      </c>
    </row>
    <row r="179" spans="1:11" ht="28" x14ac:dyDescent="0.3">
      <c r="A179" s="27" t="str">
        <f>IF(F179="00","General"&amp;INDEX(问题代码结构!$B$12:$B$20,MATCH($E179,问题代码结构!$C$12:$C$20,0)),D179&amp;F179)</f>
        <v>0410</v>
      </c>
      <c r="B179" s="24" t="str">
        <f t="shared" si="4"/>
        <v>多学科专家研讨会-会议住宿费</v>
      </c>
      <c r="C179" s="8" t="str">
        <f t="shared" si="5"/>
        <v>MN041003</v>
      </c>
      <c r="D179" s="13" t="s">
        <v>298</v>
      </c>
      <c r="E179" s="13" t="s">
        <v>507</v>
      </c>
      <c r="F179" s="13" t="s">
        <v>304</v>
      </c>
      <c r="G179" s="13" t="s">
        <v>440</v>
      </c>
      <c r="H179" s="13" t="s">
        <v>297</v>
      </c>
      <c r="I179" s="13" t="s">
        <v>394</v>
      </c>
      <c r="J179" s="13" t="s">
        <v>395</v>
      </c>
      <c r="K179" s="13" t="s">
        <v>396</v>
      </c>
    </row>
    <row r="180" spans="1:11" ht="42" x14ac:dyDescent="0.3">
      <c r="A180" s="27" t="str">
        <f>IF(F180="00","General"&amp;INDEX(问题代码结构!$B$12:$B$20,MATCH($E180,问题代码结构!$C$12:$C$20,0)),D180&amp;F180)</f>
        <v>0411</v>
      </c>
      <c r="B180" s="24" t="str">
        <f t="shared" si="4"/>
        <v>多学科专家研讨会-会议杂项开支</v>
      </c>
      <c r="C180" s="8" t="str">
        <f t="shared" si="5"/>
        <v>MN041101</v>
      </c>
      <c r="D180" s="13" t="s">
        <v>298</v>
      </c>
      <c r="E180" s="13" t="s">
        <v>507</v>
      </c>
      <c r="F180" s="13" t="s">
        <v>305</v>
      </c>
      <c r="G180" s="13" t="s">
        <v>441</v>
      </c>
      <c r="H180" s="13" t="s">
        <v>295</v>
      </c>
      <c r="I180" s="13" t="s">
        <v>392</v>
      </c>
      <c r="J180" s="13" t="s">
        <v>393</v>
      </c>
      <c r="K180" s="13" t="s">
        <v>328</v>
      </c>
    </row>
    <row r="181" spans="1:11" ht="42" x14ac:dyDescent="0.3">
      <c r="A181" s="27" t="str">
        <f>IF(F181="00","General"&amp;INDEX(问题代码结构!$B$12:$B$20,MATCH($E181,问题代码结构!$C$12:$C$20,0)),D181&amp;F181)</f>
        <v>0411</v>
      </c>
      <c r="B181" s="24" t="str">
        <f t="shared" si="4"/>
        <v>多学科专家研讨会-会议杂项开支</v>
      </c>
      <c r="C181" s="8" t="str">
        <f t="shared" si="5"/>
        <v>MN041102</v>
      </c>
      <c r="D181" s="13" t="s">
        <v>298</v>
      </c>
      <c r="E181" s="13" t="s">
        <v>507</v>
      </c>
      <c r="F181" s="13" t="s">
        <v>305</v>
      </c>
      <c r="G181" s="13" t="s">
        <v>441</v>
      </c>
      <c r="H181" s="13" t="s">
        <v>296</v>
      </c>
      <c r="I181" s="13" t="s">
        <v>394</v>
      </c>
      <c r="J181" s="13" t="s">
        <v>395</v>
      </c>
      <c r="K181" s="13" t="s">
        <v>396</v>
      </c>
    </row>
    <row r="182" spans="1:11" ht="28" x14ac:dyDescent="0.3">
      <c r="A182" s="27" t="str">
        <f>IF(F182="00","General"&amp;INDEX(问题代码结构!$B$12:$B$20,MATCH($E182,问题代码结构!$C$12:$C$20,0)),D182&amp;F182)</f>
        <v>0502</v>
      </c>
      <c r="B182" s="24" t="str">
        <f t="shared" si="4"/>
        <v>三方会-支持-会议餐费</v>
      </c>
      <c r="C182" s="8" t="str">
        <f t="shared" si="5"/>
        <v>MN050201</v>
      </c>
      <c r="D182" s="13" t="s">
        <v>299</v>
      </c>
      <c r="E182" s="13" t="s">
        <v>519</v>
      </c>
      <c r="F182" s="13" t="s">
        <v>296</v>
      </c>
      <c r="G182" s="13" t="s">
        <v>432</v>
      </c>
      <c r="H182" s="13" t="s">
        <v>295</v>
      </c>
      <c r="I182" s="13" t="s">
        <v>382</v>
      </c>
      <c r="J182" s="13" t="s">
        <v>383</v>
      </c>
      <c r="K182" s="13" t="s">
        <v>328</v>
      </c>
    </row>
    <row r="183" spans="1:11" ht="28" x14ac:dyDescent="0.3">
      <c r="A183" s="27" t="str">
        <f>IF(F183="00","General"&amp;INDEX(问题代码结构!$B$12:$B$20,MATCH($E183,问题代码结构!$C$12:$C$20,0)),D183&amp;F183)</f>
        <v>0502</v>
      </c>
      <c r="B183" s="24" t="str">
        <f t="shared" si="4"/>
        <v>三方会-支持-会议餐费</v>
      </c>
      <c r="C183" s="8" t="str">
        <f t="shared" si="5"/>
        <v>MN050202</v>
      </c>
      <c r="D183" s="13" t="s">
        <v>299</v>
      </c>
      <c r="E183" s="13" t="s">
        <v>519</v>
      </c>
      <c r="F183" s="13" t="s">
        <v>296</v>
      </c>
      <c r="G183" s="13" t="s">
        <v>432</v>
      </c>
      <c r="H183" s="13" t="s">
        <v>296</v>
      </c>
      <c r="I183" s="13" t="s">
        <v>384</v>
      </c>
      <c r="J183" s="13" t="s">
        <v>385</v>
      </c>
      <c r="K183" s="13" t="s">
        <v>386</v>
      </c>
    </row>
    <row r="184" spans="1:11" ht="28" x14ac:dyDescent="0.3">
      <c r="A184" s="27" t="str">
        <f>IF(F184="00","General"&amp;INDEX(问题代码结构!$B$12:$B$20,MATCH($E184,问题代码结构!$C$12:$C$20,0)),D184&amp;F184)</f>
        <v>0502</v>
      </c>
      <c r="B184" s="24" t="str">
        <f t="shared" si="4"/>
        <v>三方会-支持-会议餐费</v>
      </c>
      <c r="C184" s="8" t="str">
        <f t="shared" si="5"/>
        <v>MN050203</v>
      </c>
      <c r="D184" s="13" t="s">
        <v>299</v>
      </c>
      <c r="E184" s="13" t="s">
        <v>519</v>
      </c>
      <c r="F184" s="13" t="s">
        <v>296</v>
      </c>
      <c r="G184" s="13" t="s">
        <v>432</v>
      </c>
      <c r="H184" s="13" t="s">
        <v>297</v>
      </c>
      <c r="I184" s="13" t="s">
        <v>387</v>
      </c>
      <c r="J184" s="13" t="s">
        <v>388</v>
      </c>
      <c r="K184" s="13" t="s">
        <v>328</v>
      </c>
    </row>
    <row r="185" spans="1:11" ht="28" x14ac:dyDescent="0.3">
      <c r="A185" s="27" t="str">
        <f>IF(F185="00","General"&amp;INDEX(问题代码结构!$B$12:$B$20,MATCH($E185,问题代码结构!$C$12:$C$20,0)),D185&amp;F185)</f>
        <v>0502</v>
      </c>
      <c r="B185" s="24" t="str">
        <f t="shared" si="4"/>
        <v>三方会-支持-会议餐费</v>
      </c>
      <c r="C185" s="8" t="str">
        <f t="shared" si="5"/>
        <v>MN050204</v>
      </c>
      <c r="D185" s="13" t="s">
        <v>299</v>
      </c>
      <c r="E185" s="13" t="s">
        <v>519</v>
      </c>
      <c r="F185" s="13" t="s">
        <v>296</v>
      </c>
      <c r="G185" s="13" t="s">
        <v>432</v>
      </c>
      <c r="H185" s="13" t="s">
        <v>298</v>
      </c>
      <c r="I185" s="13" t="s">
        <v>389</v>
      </c>
      <c r="J185" s="13" t="s">
        <v>390</v>
      </c>
      <c r="K185" s="13" t="s">
        <v>391</v>
      </c>
    </row>
    <row r="186" spans="1:11" ht="28" x14ac:dyDescent="0.3">
      <c r="A186" s="27" t="str">
        <f>IF(F186="00","General"&amp;INDEX(问题代码结构!$B$12:$B$20,MATCH($E186,问题代码结构!$C$12:$C$20,0)),D186&amp;F186)</f>
        <v>0502</v>
      </c>
      <c r="B186" s="24" t="str">
        <f t="shared" si="4"/>
        <v>三方会-支持-会议餐费</v>
      </c>
      <c r="C186" s="8" t="str">
        <f t="shared" si="5"/>
        <v>MN050205</v>
      </c>
      <c r="D186" s="13" t="s">
        <v>299</v>
      </c>
      <c r="E186" s="13" t="s">
        <v>519</v>
      </c>
      <c r="F186" s="13" t="s">
        <v>296</v>
      </c>
      <c r="G186" s="13" t="s">
        <v>432</v>
      </c>
      <c r="H186" s="13" t="s">
        <v>299</v>
      </c>
      <c r="I186" s="13" t="s">
        <v>392</v>
      </c>
      <c r="J186" s="13" t="s">
        <v>393</v>
      </c>
      <c r="K186" s="13" t="s">
        <v>328</v>
      </c>
    </row>
    <row r="187" spans="1:11" ht="28" x14ac:dyDescent="0.3">
      <c r="A187" s="27" t="str">
        <f>IF(F187="00","General"&amp;INDEX(问题代码结构!$B$12:$B$20,MATCH($E187,问题代码结构!$C$12:$C$20,0)),D187&amp;F187)</f>
        <v>0502</v>
      </c>
      <c r="B187" s="24" t="str">
        <f t="shared" si="4"/>
        <v>三方会-支持-会议餐费</v>
      </c>
      <c r="C187" s="8" t="str">
        <f t="shared" si="5"/>
        <v>MN050206</v>
      </c>
      <c r="D187" s="13" t="s">
        <v>299</v>
      </c>
      <c r="E187" s="13" t="s">
        <v>519</v>
      </c>
      <c r="F187" s="13" t="s">
        <v>296</v>
      </c>
      <c r="G187" s="13" t="s">
        <v>432</v>
      </c>
      <c r="H187" s="13" t="s">
        <v>300</v>
      </c>
      <c r="I187" s="13" t="s">
        <v>394</v>
      </c>
      <c r="J187" s="13" t="s">
        <v>395</v>
      </c>
      <c r="K187" s="13" t="s">
        <v>396</v>
      </c>
    </row>
    <row r="188" spans="1:11" ht="28" x14ac:dyDescent="0.3">
      <c r="A188" s="27" t="str">
        <f>IF(F188="00","General"&amp;INDEX(问题代码结构!$B$12:$B$20,MATCH($E188,问题代码结构!$C$12:$C$20,0)),D188&amp;F188)</f>
        <v>General05</v>
      </c>
      <c r="B188" s="24" t="str">
        <f t="shared" si="4"/>
        <v>三方会-支持-通用</v>
      </c>
      <c r="C188" s="8" t="str">
        <f t="shared" si="5"/>
        <v>MN050001</v>
      </c>
      <c r="D188" s="13" t="s">
        <v>299</v>
      </c>
      <c r="E188" s="13" t="s">
        <v>519</v>
      </c>
      <c r="F188" s="25" t="s">
        <v>568</v>
      </c>
      <c r="G188" s="26" t="s">
        <v>570</v>
      </c>
      <c r="H188" s="13" t="s">
        <v>295</v>
      </c>
      <c r="I188" s="13" t="s">
        <v>473</v>
      </c>
      <c r="J188" s="13" t="s">
        <v>520</v>
      </c>
      <c r="K188" s="13" t="s">
        <v>326</v>
      </c>
    </row>
    <row r="189" spans="1:11" ht="28" x14ac:dyDescent="0.3">
      <c r="A189" s="27" t="str">
        <f>IF(F189="00","General"&amp;INDEX(问题代码结构!$B$12:$B$20,MATCH($E189,问题代码结构!$C$12:$C$20,0)),D189&amp;F189)</f>
        <v>General05</v>
      </c>
      <c r="B189" s="24" t="str">
        <f t="shared" si="4"/>
        <v>三方会-支持-通用</v>
      </c>
      <c r="C189" s="8" t="str">
        <f t="shared" si="5"/>
        <v>MN050002</v>
      </c>
      <c r="D189" s="13" t="s">
        <v>299</v>
      </c>
      <c r="E189" s="13" t="s">
        <v>519</v>
      </c>
      <c r="F189" s="25" t="s">
        <v>568</v>
      </c>
      <c r="G189" s="26" t="s">
        <v>570</v>
      </c>
      <c r="H189" s="13" t="s">
        <v>296</v>
      </c>
      <c r="I189" s="13" t="s">
        <v>474</v>
      </c>
      <c r="J189" s="13" t="s">
        <v>327</v>
      </c>
      <c r="K189" s="13" t="s">
        <v>328</v>
      </c>
    </row>
    <row r="190" spans="1:11" ht="28" x14ac:dyDescent="0.3">
      <c r="A190" s="27" t="str">
        <f>IF(F190="00","General"&amp;INDEX(问题代码结构!$B$12:$B$20,MATCH($E190,问题代码结构!$C$12:$C$20,0)),D190&amp;F190)</f>
        <v>General05</v>
      </c>
      <c r="B190" s="24" t="str">
        <f t="shared" si="4"/>
        <v>三方会-支持-通用</v>
      </c>
      <c r="C190" s="8" t="str">
        <f t="shared" si="5"/>
        <v>MN050003</v>
      </c>
      <c r="D190" s="13" t="s">
        <v>299</v>
      </c>
      <c r="E190" s="13" t="s">
        <v>519</v>
      </c>
      <c r="F190" s="25" t="s">
        <v>568</v>
      </c>
      <c r="G190" s="26" t="s">
        <v>570</v>
      </c>
      <c r="H190" s="13" t="s">
        <v>297</v>
      </c>
      <c r="I190" s="13" t="s">
        <v>475</v>
      </c>
      <c r="J190" s="13" t="s">
        <v>329</v>
      </c>
      <c r="K190" s="13" t="s">
        <v>330</v>
      </c>
    </row>
    <row r="191" spans="1:11" ht="28" x14ac:dyDescent="0.3">
      <c r="A191" s="27" t="str">
        <f>IF(F191="00","General"&amp;INDEX(问题代码结构!$B$12:$B$20,MATCH($E191,问题代码结构!$C$12:$C$20,0)),D191&amp;F191)</f>
        <v>General05</v>
      </c>
      <c r="B191" s="24" t="str">
        <f t="shared" si="4"/>
        <v>三方会-支持-通用</v>
      </c>
      <c r="C191" s="8" t="str">
        <f t="shared" si="5"/>
        <v>MN050004</v>
      </c>
      <c r="D191" s="13" t="s">
        <v>299</v>
      </c>
      <c r="E191" s="13" t="s">
        <v>519</v>
      </c>
      <c r="F191" s="25" t="s">
        <v>568</v>
      </c>
      <c r="G191" s="26" t="s">
        <v>570</v>
      </c>
      <c r="H191" s="13" t="s">
        <v>298</v>
      </c>
      <c r="I191" s="13" t="s">
        <v>476</v>
      </c>
      <c r="J191" s="13" t="s">
        <v>331</v>
      </c>
      <c r="K191" s="13" t="s">
        <v>332</v>
      </c>
    </row>
    <row r="192" spans="1:11" ht="28" x14ac:dyDescent="0.3">
      <c r="A192" s="27" t="str">
        <f>IF(F192="00","General"&amp;INDEX(问题代码结构!$B$12:$B$20,MATCH($E192,问题代码结构!$C$12:$C$20,0)),D192&amp;F192)</f>
        <v>General05</v>
      </c>
      <c r="B192" s="24" t="str">
        <f t="shared" si="4"/>
        <v>三方会-支持-通用</v>
      </c>
      <c r="C192" s="8" t="str">
        <f t="shared" si="5"/>
        <v>MN050005</v>
      </c>
      <c r="D192" s="13" t="s">
        <v>299</v>
      </c>
      <c r="E192" s="13" t="s">
        <v>519</v>
      </c>
      <c r="F192" s="25" t="s">
        <v>568</v>
      </c>
      <c r="G192" s="26" t="s">
        <v>570</v>
      </c>
      <c r="H192" s="13" t="s">
        <v>299</v>
      </c>
      <c r="I192" s="13" t="s">
        <v>481</v>
      </c>
      <c r="J192" s="13" t="s">
        <v>339</v>
      </c>
      <c r="K192" s="13" t="s">
        <v>340</v>
      </c>
    </row>
    <row r="193" spans="1:11" ht="28" x14ac:dyDescent="0.3">
      <c r="A193" s="27" t="str">
        <f>IF(F193="00","General"&amp;INDEX(问题代码结构!$B$12:$B$20,MATCH($E193,问题代码结构!$C$12:$C$20,0)),D193&amp;F193)</f>
        <v>General05</v>
      </c>
      <c r="B193" s="24" t="str">
        <f t="shared" si="4"/>
        <v>三方会-支持-通用</v>
      </c>
      <c r="C193" s="8" t="str">
        <f t="shared" si="5"/>
        <v>MN050006</v>
      </c>
      <c r="D193" s="13" t="s">
        <v>299</v>
      </c>
      <c r="E193" s="13" t="s">
        <v>519</v>
      </c>
      <c r="F193" s="25" t="s">
        <v>568</v>
      </c>
      <c r="G193" s="26" t="s">
        <v>570</v>
      </c>
      <c r="H193" s="13" t="s">
        <v>300</v>
      </c>
      <c r="I193" s="13" t="s">
        <v>521</v>
      </c>
      <c r="J193" s="13" t="s">
        <v>522</v>
      </c>
      <c r="K193" s="13" t="s">
        <v>328</v>
      </c>
    </row>
    <row r="194" spans="1:11" ht="28" x14ac:dyDescent="0.3">
      <c r="A194" s="27" t="str">
        <f>IF(F194="00","General"&amp;INDEX(问题代码结构!$B$12:$B$20,MATCH($E194,问题代码结构!$C$12:$C$20,0)),D194&amp;F194)</f>
        <v>General05</v>
      </c>
      <c r="B194" s="24" t="str">
        <f t="shared" si="4"/>
        <v>三方会-支持-通用</v>
      </c>
      <c r="C194" s="8" t="str">
        <f t="shared" si="5"/>
        <v>MN050007</v>
      </c>
      <c r="D194" s="13" t="s">
        <v>299</v>
      </c>
      <c r="E194" s="13" t="s">
        <v>519</v>
      </c>
      <c r="F194" s="25" t="s">
        <v>568</v>
      </c>
      <c r="G194" s="26" t="s">
        <v>570</v>
      </c>
      <c r="H194" s="13" t="s">
        <v>301</v>
      </c>
      <c r="I194" s="13" t="s">
        <v>483</v>
      </c>
      <c r="J194" s="13" t="s">
        <v>523</v>
      </c>
      <c r="K194" s="13" t="s">
        <v>343</v>
      </c>
    </row>
    <row r="195" spans="1:11" ht="42" x14ac:dyDescent="0.3">
      <c r="A195" s="27" t="str">
        <f>IF(F195="00","General"&amp;INDEX(问题代码结构!$B$12:$B$20,MATCH($E195,问题代码结构!$C$12:$C$20,0)),D195&amp;F195)</f>
        <v>General05</v>
      </c>
      <c r="B195" s="24" t="str">
        <f t="shared" ref="B195:B258" si="6">E195&amp;"-"&amp;G195</f>
        <v>三方会-支持-通用</v>
      </c>
      <c r="C195" s="8" t="str">
        <f t="shared" ref="C195:C258" si="7">"MN"&amp;D195&amp;F195&amp;H195</f>
        <v>MN050008</v>
      </c>
      <c r="D195" s="13" t="s">
        <v>299</v>
      </c>
      <c r="E195" s="13" t="s">
        <v>519</v>
      </c>
      <c r="F195" s="25" t="s">
        <v>568</v>
      </c>
      <c r="G195" s="26" t="s">
        <v>570</v>
      </c>
      <c r="H195" s="13" t="s">
        <v>302</v>
      </c>
      <c r="I195" s="13" t="s">
        <v>484</v>
      </c>
      <c r="J195" s="13" t="s">
        <v>344</v>
      </c>
      <c r="K195" s="13" t="s">
        <v>345</v>
      </c>
    </row>
    <row r="196" spans="1:11" ht="28" x14ac:dyDescent="0.3">
      <c r="A196" s="27" t="str">
        <f>IF(F196="00","General"&amp;INDEX(问题代码结构!$B$12:$B$20,MATCH($E196,问题代码结构!$C$12:$C$20,0)),D196&amp;F196)</f>
        <v>General05</v>
      </c>
      <c r="B196" s="24" t="str">
        <f t="shared" si="6"/>
        <v>三方会-支持-通用</v>
      </c>
      <c r="C196" s="8" t="str">
        <f t="shared" si="7"/>
        <v>MN050009</v>
      </c>
      <c r="D196" s="13" t="s">
        <v>299</v>
      </c>
      <c r="E196" s="13" t="s">
        <v>519</v>
      </c>
      <c r="F196" s="25" t="s">
        <v>568</v>
      </c>
      <c r="G196" s="26" t="s">
        <v>570</v>
      </c>
      <c r="H196" s="13" t="s">
        <v>303</v>
      </c>
      <c r="I196" s="13" t="s">
        <v>485</v>
      </c>
      <c r="J196" s="13" t="s">
        <v>346</v>
      </c>
      <c r="K196" s="13" t="s">
        <v>347</v>
      </c>
    </row>
    <row r="197" spans="1:11" ht="28" x14ac:dyDescent="0.3">
      <c r="A197" s="27" t="str">
        <f>IF(F197="00","General"&amp;INDEX(问题代码结构!$B$12:$B$20,MATCH($E197,问题代码结构!$C$12:$C$20,0)),D197&amp;F197)</f>
        <v>General05</v>
      </c>
      <c r="B197" s="24" t="str">
        <f t="shared" si="6"/>
        <v>三方会-支持-通用</v>
      </c>
      <c r="C197" s="8" t="str">
        <f t="shared" si="7"/>
        <v>MN050010</v>
      </c>
      <c r="D197" s="13" t="s">
        <v>299</v>
      </c>
      <c r="E197" s="13" t="s">
        <v>519</v>
      </c>
      <c r="F197" s="25" t="s">
        <v>568</v>
      </c>
      <c r="G197" s="26" t="s">
        <v>570</v>
      </c>
      <c r="H197" s="13" t="s">
        <v>304</v>
      </c>
      <c r="I197" s="13" t="s">
        <v>486</v>
      </c>
      <c r="J197" s="13" t="s">
        <v>348</v>
      </c>
      <c r="K197" s="13" t="s">
        <v>347</v>
      </c>
    </row>
    <row r="198" spans="1:11" ht="28" x14ac:dyDescent="0.3">
      <c r="A198" s="27" t="str">
        <f>IF(F198="00","General"&amp;INDEX(问题代码结构!$B$12:$B$20,MATCH($E198,问题代码结构!$C$12:$C$20,0)),D198&amp;F198)</f>
        <v>General05</v>
      </c>
      <c r="B198" s="24" t="str">
        <f t="shared" si="6"/>
        <v>三方会-支持-通用</v>
      </c>
      <c r="C198" s="8" t="str">
        <f t="shared" si="7"/>
        <v>MN050011</v>
      </c>
      <c r="D198" s="13" t="s">
        <v>299</v>
      </c>
      <c r="E198" s="13" t="s">
        <v>519</v>
      </c>
      <c r="F198" s="25" t="s">
        <v>568</v>
      </c>
      <c r="G198" s="26" t="s">
        <v>570</v>
      </c>
      <c r="H198" s="13" t="s">
        <v>305</v>
      </c>
      <c r="I198" s="13" t="s">
        <v>524</v>
      </c>
      <c r="J198" s="13" t="s">
        <v>525</v>
      </c>
      <c r="K198" s="13" t="s">
        <v>347</v>
      </c>
    </row>
    <row r="199" spans="1:11" ht="28" x14ac:dyDescent="0.3">
      <c r="A199" s="27" t="str">
        <f>IF(F199="00","General"&amp;INDEX(问题代码结构!$B$12:$B$20,MATCH($E199,问题代码结构!$C$12:$C$20,0)),D199&amp;F199)</f>
        <v>General05</v>
      </c>
      <c r="B199" s="24" t="str">
        <f t="shared" si="6"/>
        <v>三方会-支持-通用</v>
      </c>
      <c r="C199" s="8" t="str">
        <f t="shared" si="7"/>
        <v>MN050012</v>
      </c>
      <c r="D199" s="13" t="s">
        <v>299</v>
      </c>
      <c r="E199" s="13" t="s">
        <v>519</v>
      </c>
      <c r="F199" s="25" t="s">
        <v>568</v>
      </c>
      <c r="G199" s="26" t="s">
        <v>570</v>
      </c>
      <c r="H199" s="13" t="s">
        <v>306</v>
      </c>
      <c r="I199" s="13" t="s">
        <v>488</v>
      </c>
      <c r="J199" s="13" t="s">
        <v>350</v>
      </c>
      <c r="K199" s="13" t="s">
        <v>347</v>
      </c>
    </row>
    <row r="200" spans="1:11" ht="28" x14ac:dyDescent="0.3">
      <c r="A200" s="27" t="str">
        <f>IF(F200="00","General"&amp;INDEX(问题代码结构!$B$12:$B$20,MATCH($E200,问题代码结构!$C$12:$C$20,0)),D200&amp;F200)</f>
        <v>General05</v>
      </c>
      <c r="B200" s="24" t="str">
        <f t="shared" si="6"/>
        <v>三方会-支持-通用</v>
      </c>
      <c r="C200" s="8" t="str">
        <f t="shared" si="7"/>
        <v>MN050013</v>
      </c>
      <c r="D200" s="13" t="s">
        <v>299</v>
      </c>
      <c r="E200" s="13" t="s">
        <v>519</v>
      </c>
      <c r="F200" s="25" t="s">
        <v>568</v>
      </c>
      <c r="G200" s="26" t="s">
        <v>570</v>
      </c>
      <c r="H200" s="13" t="s">
        <v>307</v>
      </c>
      <c r="I200" s="13" t="s">
        <v>490</v>
      </c>
      <c r="J200" s="13" t="s">
        <v>526</v>
      </c>
      <c r="K200" s="13" t="s">
        <v>353</v>
      </c>
    </row>
    <row r="201" spans="1:11" ht="42" x14ac:dyDescent="0.3">
      <c r="A201" s="27" t="str">
        <f>IF(F201="00","General"&amp;INDEX(问题代码结构!$B$12:$B$20,MATCH($E201,问题代码结构!$C$12:$C$20,0)),D201&amp;F201)</f>
        <v>General05</v>
      </c>
      <c r="B201" s="24" t="str">
        <f t="shared" si="6"/>
        <v>三方会-支持-通用</v>
      </c>
      <c r="C201" s="8" t="str">
        <f t="shared" si="7"/>
        <v>MN050014</v>
      </c>
      <c r="D201" s="13" t="s">
        <v>299</v>
      </c>
      <c r="E201" s="13" t="s">
        <v>519</v>
      </c>
      <c r="F201" s="25" t="s">
        <v>568</v>
      </c>
      <c r="G201" s="26" t="s">
        <v>570</v>
      </c>
      <c r="H201" s="13" t="s">
        <v>308</v>
      </c>
      <c r="I201" s="13" t="s">
        <v>492</v>
      </c>
      <c r="J201" s="13" t="s">
        <v>356</v>
      </c>
      <c r="K201" s="13" t="s">
        <v>357</v>
      </c>
    </row>
    <row r="202" spans="1:11" ht="28" x14ac:dyDescent="0.3">
      <c r="A202" s="27" t="str">
        <f>IF(F202="00","General"&amp;INDEX(问题代码结构!$B$12:$B$20,MATCH($E202,问题代码结构!$C$12:$C$20,0)),D202&amp;F202)</f>
        <v>General05</v>
      </c>
      <c r="B202" s="24" t="str">
        <f t="shared" si="6"/>
        <v>三方会-支持-通用</v>
      </c>
      <c r="C202" s="8" t="str">
        <f t="shared" si="7"/>
        <v>MN050015</v>
      </c>
      <c r="D202" s="13" t="s">
        <v>299</v>
      </c>
      <c r="E202" s="13" t="s">
        <v>519</v>
      </c>
      <c r="F202" s="25" t="s">
        <v>568</v>
      </c>
      <c r="G202" s="26" t="s">
        <v>570</v>
      </c>
      <c r="H202" s="13" t="s">
        <v>309</v>
      </c>
      <c r="I202" s="13" t="s">
        <v>493</v>
      </c>
      <c r="J202" s="13" t="s">
        <v>527</v>
      </c>
      <c r="K202" s="13" t="s">
        <v>359</v>
      </c>
    </row>
    <row r="203" spans="1:11" ht="42" x14ac:dyDescent="0.3">
      <c r="A203" s="27" t="str">
        <f>IF(F203="00","General"&amp;INDEX(问题代码结构!$B$12:$B$20,MATCH($E203,问题代码结构!$C$12:$C$20,0)),D203&amp;F203)</f>
        <v>0503</v>
      </c>
      <c r="B203" s="24" t="str">
        <f t="shared" si="6"/>
        <v>三方会-支持-会议交通费</v>
      </c>
      <c r="C203" s="8" t="str">
        <f t="shared" si="7"/>
        <v>MN050301</v>
      </c>
      <c r="D203" s="13" t="s">
        <v>299</v>
      </c>
      <c r="E203" s="13" t="s">
        <v>519</v>
      </c>
      <c r="F203" s="13" t="s">
        <v>297</v>
      </c>
      <c r="G203" s="13" t="s">
        <v>433</v>
      </c>
      <c r="H203" s="13" t="s">
        <v>295</v>
      </c>
      <c r="I203" s="13" t="s">
        <v>397</v>
      </c>
      <c r="J203" s="13" t="s">
        <v>398</v>
      </c>
      <c r="K203" s="13" t="s">
        <v>328</v>
      </c>
    </row>
    <row r="204" spans="1:11" ht="42" x14ac:dyDescent="0.3">
      <c r="A204" s="27" t="str">
        <f>IF(F204="00","General"&amp;INDEX(问题代码结构!$B$12:$B$20,MATCH($E204,问题代码结构!$C$12:$C$20,0)),D204&amp;F204)</f>
        <v>0504</v>
      </c>
      <c r="B204" s="24" t="str">
        <f t="shared" si="6"/>
        <v>三方会-支持-会议租车费</v>
      </c>
      <c r="C204" s="8" t="str">
        <f t="shared" si="7"/>
        <v>MN050401</v>
      </c>
      <c r="D204" s="13" t="s">
        <v>299</v>
      </c>
      <c r="E204" s="13" t="s">
        <v>519</v>
      </c>
      <c r="F204" s="13" t="s">
        <v>298</v>
      </c>
      <c r="G204" s="13" t="s">
        <v>434</v>
      </c>
      <c r="H204" s="13" t="s">
        <v>295</v>
      </c>
      <c r="I204" s="13" t="s">
        <v>399</v>
      </c>
      <c r="J204" s="13" t="s">
        <v>400</v>
      </c>
      <c r="K204" s="13" t="s">
        <v>332</v>
      </c>
    </row>
    <row r="205" spans="1:11" ht="28" x14ac:dyDescent="0.3">
      <c r="A205" s="27" t="str">
        <f>IF(F205="00","General"&amp;INDEX(问题代码结构!$B$12:$B$20,MATCH($E205,问题代码结构!$C$12:$C$20,0)),D205&amp;F205)</f>
        <v>0504</v>
      </c>
      <c r="B205" s="24" t="str">
        <f t="shared" si="6"/>
        <v>三方会-支持-会议租车费</v>
      </c>
      <c r="C205" s="8" t="str">
        <f t="shared" si="7"/>
        <v>MN050402</v>
      </c>
      <c r="D205" s="13" t="s">
        <v>299</v>
      </c>
      <c r="E205" s="13" t="s">
        <v>519</v>
      </c>
      <c r="F205" s="13" t="s">
        <v>298</v>
      </c>
      <c r="G205" s="13" t="s">
        <v>434</v>
      </c>
      <c r="H205" s="13" t="s">
        <v>296</v>
      </c>
      <c r="I205" s="13" t="s">
        <v>392</v>
      </c>
      <c r="J205" s="13" t="s">
        <v>393</v>
      </c>
      <c r="K205" s="13" t="s">
        <v>328</v>
      </c>
    </row>
    <row r="206" spans="1:11" ht="28" x14ac:dyDescent="0.3">
      <c r="A206" s="27" t="str">
        <f>IF(F206="00","General"&amp;INDEX(问题代码结构!$B$12:$B$20,MATCH($E206,问题代码结构!$C$12:$C$20,0)),D206&amp;F206)</f>
        <v>0504</v>
      </c>
      <c r="B206" s="24" t="str">
        <f t="shared" si="6"/>
        <v>三方会-支持-会议租车费</v>
      </c>
      <c r="C206" s="8" t="str">
        <f t="shared" si="7"/>
        <v>MN050403</v>
      </c>
      <c r="D206" s="13" t="s">
        <v>299</v>
      </c>
      <c r="E206" s="13" t="s">
        <v>519</v>
      </c>
      <c r="F206" s="13" t="s">
        <v>298</v>
      </c>
      <c r="G206" s="13" t="s">
        <v>434</v>
      </c>
      <c r="H206" s="13" t="s">
        <v>297</v>
      </c>
      <c r="I206" s="13" t="s">
        <v>394</v>
      </c>
      <c r="J206" s="13" t="s">
        <v>395</v>
      </c>
      <c r="K206" s="13" t="s">
        <v>396</v>
      </c>
    </row>
    <row r="207" spans="1:11" ht="42" x14ac:dyDescent="0.3">
      <c r="A207" s="27" t="str">
        <f>IF(F207="00","General"&amp;INDEX(问题代码结构!$B$12:$B$20,MATCH($E207,问题代码结构!$C$12:$C$20,0)),D207&amp;F207)</f>
        <v>0505</v>
      </c>
      <c r="B207" s="24" t="str">
        <f t="shared" si="6"/>
        <v>三方会-支持-会议火车票</v>
      </c>
      <c r="C207" s="8" t="str">
        <f t="shared" si="7"/>
        <v>MN050501</v>
      </c>
      <c r="D207" s="13" t="s">
        <v>299</v>
      </c>
      <c r="E207" s="13" t="s">
        <v>519</v>
      </c>
      <c r="F207" s="13" t="s">
        <v>299</v>
      </c>
      <c r="G207" s="13" t="s">
        <v>435</v>
      </c>
      <c r="H207" s="13" t="s">
        <v>295</v>
      </c>
      <c r="I207" s="13" t="s">
        <v>401</v>
      </c>
      <c r="J207" s="13" t="s">
        <v>402</v>
      </c>
      <c r="K207" s="13" t="s">
        <v>328</v>
      </c>
    </row>
    <row r="208" spans="1:11" ht="28" x14ac:dyDescent="0.3">
      <c r="A208" s="27" t="str">
        <f>IF(F208="00","General"&amp;INDEX(问题代码结构!$B$12:$B$20,MATCH($E208,问题代码结构!$C$12:$C$20,0)),D208&amp;F208)</f>
        <v>0506</v>
      </c>
      <c r="B208" s="24" t="str">
        <f t="shared" si="6"/>
        <v>三方会-支持-会议茶歇</v>
      </c>
      <c r="C208" s="8" t="str">
        <f t="shared" si="7"/>
        <v>MN050601</v>
      </c>
      <c r="D208" s="13" t="s">
        <v>299</v>
      </c>
      <c r="E208" s="13" t="s">
        <v>519</v>
      </c>
      <c r="F208" s="13" t="s">
        <v>300</v>
      </c>
      <c r="G208" s="13" t="s">
        <v>436</v>
      </c>
      <c r="H208" s="13" t="s">
        <v>295</v>
      </c>
      <c r="I208" s="13" t="s">
        <v>403</v>
      </c>
      <c r="J208" s="13" t="s">
        <v>404</v>
      </c>
      <c r="K208" s="13" t="s">
        <v>386</v>
      </c>
    </row>
    <row r="209" spans="1:11" ht="28" x14ac:dyDescent="0.3">
      <c r="A209" s="27" t="str">
        <f>IF(F209="00","General"&amp;INDEX(问题代码结构!$B$12:$B$20,MATCH($E209,问题代码结构!$C$12:$C$20,0)),D209&amp;F209)</f>
        <v>0506</v>
      </c>
      <c r="B209" s="24" t="str">
        <f t="shared" si="6"/>
        <v>三方会-支持-会议茶歇</v>
      </c>
      <c r="C209" s="8" t="str">
        <f t="shared" si="7"/>
        <v>MN050602</v>
      </c>
      <c r="D209" s="13" t="s">
        <v>299</v>
      </c>
      <c r="E209" s="13" t="s">
        <v>519</v>
      </c>
      <c r="F209" s="13" t="s">
        <v>300</v>
      </c>
      <c r="G209" s="13" t="s">
        <v>436</v>
      </c>
      <c r="H209" s="13" t="s">
        <v>296</v>
      </c>
      <c r="I209" s="13" t="s">
        <v>405</v>
      </c>
      <c r="J209" s="13" t="s">
        <v>406</v>
      </c>
      <c r="K209" s="13" t="s">
        <v>328</v>
      </c>
    </row>
    <row r="210" spans="1:11" ht="28" x14ac:dyDescent="0.3">
      <c r="A210" s="27" t="str">
        <f>IF(F210="00","General"&amp;INDEX(问题代码结构!$B$12:$B$20,MATCH($E210,问题代码结构!$C$12:$C$20,0)),D210&amp;F210)</f>
        <v>0506</v>
      </c>
      <c r="B210" s="24" t="str">
        <f t="shared" si="6"/>
        <v>三方会-支持-会议茶歇</v>
      </c>
      <c r="C210" s="8" t="str">
        <f t="shared" si="7"/>
        <v>MN050603</v>
      </c>
      <c r="D210" s="13" t="s">
        <v>299</v>
      </c>
      <c r="E210" s="13" t="s">
        <v>519</v>
      </c>
      <c r="F210" s="13" t="s">
        <v>300</v>
      </c>
      <c r="G210" s="13" t="s">
        <v>436</v>
      </c>
      <c r="H210" s="13" t="s">
        <v>297</v>
      </c>
      <c r="I210" s="13" t="s">
        <v>392</v>
      </c>
      <c r="J210" s="13" t="s">
        <v>393</v>
      </c>
      <c r="K210" s="13" t="s">
        <v>328</v>
      </c>
    </row>
    <row r="211" spans="1:11" ht="28" x14ac:dyDescent="0.3">
      <c r="A211" s="27" t="str">
        <f>IF(F211="00","General"&amp;INDEX(问题代码结构!$B$12:$B$20,MATCH($E211,问题代码结构!$C$12:$C$20,0)),D211&amp;F211)</f>
        <v>0506</v>
      </c>
      <c r="B211" s="24" t="str">
        <f t="shared" si="6"/>
        <v>三方会-支持-会议茶歇</v>
      </c>
      <c r="C211" s="8" t="str">
        <f t="shared" si="7"/>
        <v>MN050604</v>
      </c>
      <c r="D211" s="13" t="s">
        <v>299</v>
      </c>
      <c r="E211" s="13" t="s">
        <v>519</v>
      </c>
      <c r="F211" s="13" t="s">
        <v>300</v>
      </c>
      <c r="G211" s="13" t="s">
        <v>436</v>
      </c>
      <c r="H211" s="13" t="s">
        <v>298</v>
      </c>
      <c r="I211" s="13" t="s">
        <v>394</v>
      </c>
      <c r="J211" s="13" t="s">
        <v>395</v>
      </c>
      <c r="K211" s="13" t="s">
        <v>396</v>
      </c>
    </row>
    <row r="212" spans="1:11" ht="28" x14ac:dyDescent="0.3">
      <c r="A212" s="27" t="str">
        <f>IF(F212="00","General"&amp;INDEX(问题代码结构!$B$12:$B$20,MATCH($E212,问题代码结构!$C$12:$C$20,0)),D212&amp;F212)</f>
        <v>0507</v>
      </c>
      <c r="B212" s="24" t="str">
        <f t="shared" si="6"/>
        <v>三方会-支持-会议场租</v>
      </c>
      <c r="C212" s="8" t="str">
        <f t="shared" si="7"/>
        <v>MN050701</v>
      </c>
      <c r="D212" s="13" t="s">
        <v>299</v>
      </c>
      <c r="E212" s="13" t="s">
        <v>519</v>
      </c>
      <c r="F212" s="13" t="s">
        <v>301</v>
      </c>
      <c r="G212" s="13" t="s">
        <v>437</v>
      </c>
      <c r="H212" s="13" t="s">
        <v>295</v>
      </c>
      <c r="I212" s="13" t="s">
        <v>392</v>
      </c>
      <c r="J212" s="13" t="s">
        <v>393</v>
      </c>
      <c r="K212" s="13" t="s">
        <v>328</v>
      </c>
    </row>
    <row r="213" spans="1:11" ht="28" x14ac:dyDescent="0.3">
      <c r="A213" s="27" t="str">
        <f>IF(F213="00","General"&amp;INDEX(问题代码结构!$B$12:$B$20,MATCH($E213,问题代码结构!$C$12:$C$20,0)),D213&amp;F213)</f>
        <v>0507</v>
      </c>
      <c r="B213" s="24" t="str">
        <f t="shared" si="6"/>
        <v>三方会-支持-会议场租</v>
      </c>
      <c r="C213" s="8" t="str">
        <f t="shared" si="7"/>
        <v>MN050702</v>
      </c>
      <c r="D213" s="13" t="s">
        <v>299</v>
      </c>
      <c r="E213" s="13" t="s">
        <v>519</v>
      </c>
      <c r="F213" s="13" t="s">
        <v>301</v>
      </c>
      <c r="G213" s="13" t="s">
        <v>437</v>
      </c>
      <c r="H213" s="13" t="s">
        <v>296</v>
      </c>
      <c r="I213" s="13" t="s">
        <v>394</v>
      </c>
      <c r="J213" s="13" t="s">
        <v>395</v>
      </c>
      <c r="K213" s="13" t="s">
        <v>396</v>
      </c>
    </row>
    <row r="214" spans="1:11" ht="28" x14ac:dyDescent="0.3">
      <c r="A214" s="27" t="str">
        <f>IF(F214="00","General"&amp;INDEX(问题代码结构!$B$12:$B$20,MATCH($E214,问题代码结构!$C$12:$C$20,0)),D214&amp;F214)</f>
        <v>0508</v>
      </c>
      <c r="B214" s="24" t="str">
        <f t="shared" si="6"/>
        <v>三方会-支持-会议个人车辆</v>
      </c>
      <c r="C214" s="8" t="str">
        <f t="shared" si="7"/>
        <v>MN050801</v>
      </c>
      <c r="D214" s="13" t="s">
        <v>299</v>
      </c>
      <c r="E214" s="13" t="s">
        <v>519</v>
      </c>
      <c r="F214" s="13" t="s">
        <v>302</v>
      </c>
      <c r="G214" s="13" t="s">
        <v>438</v>
      </c>
      <c r="H214" s="13" t="s">
        <v>295</v>
      </c>
      <c r="I214" s="13" t="s">
        <v>392</v>
      </c>
      <c r="J214" s="13" t="s">
        <v>393</v>
      </c>
      <c r="K214" s="13" t="s">
        <v>328</v>
      </c>
    </row>
    <row r="215" spans="1:11" ht="28" x14ac:dyDescent="0.3">
      <c r="A215" s="27" t="str">
        <f>IF(F215="00","General"&amp;INDEX(问题代码结构!$B$12:$B$20,MATCH($E215,问题代码结构!$C$12:$C$20,0)),D215&amp;F215)</f>
        <v>0508</v>
      </c>
      <c r="B215" s="24" t="str">
        <f t="shared" si="6"/>
        <v>三方会-支持-会议个人车辆</v>
      </c>
      <c r="C215" s="8" t="str">
        <f t="shared" si="7"/>
        <v>MN050802</v>
      </c>
      <c r="D215" s="13" t="s">
        <v>299</v>
      </c>
      <c r="E215" s="13" t="s">
        <v>519</v>
      </c>
      <c r="F215" s="13" t="s">
        <v>302</v>
      </c>
      <c r="G215" s="13" t="s">
        <v>438</v>
      </c>
      <c r="H215" s="13" t="s">
        <v>296</v>
      </c>
      <c r="I215" s="13" t="s">
        <v>394</v>
      </c>
      <c r="J215" s="13" t="s">
        <v>395</v>
      </c>
      <c r="K215" s="13" t="s">
        <v>396</v>
      </c>
    </row>
    <row r="216" spans="1:11" ht="28" x14ac:dyDescent="0.3">
      <c r="A216" s="27" t="str">
        <f>IF(F216="00","General"&amp;INDEX(问题代码结构!$B$12:$B$20,MATCH($E216,问题代码结构!$C$12:$C$20,0)),D216&amp;F216)</f>
        <v>0509</v>
      </c>
      <c r="B216" s="24" t="str">
        <f t="shared" si="6"/>
        <v>三方会-支持-会议推广材料制作</v>
      </c>
      <c r="C216" s="8" t="str">
        <f t="shared" si="7"/>
        <v>MN050901</v>
      </c>
      <c r="D216" s="13" t="s">
        <v>299</v>
      </c>
      <c r="E216" s="13" t="s">
        <v>519</v>
      </c>
      <c r="F216" s="13" t="s">
        <v>303</v>
      </c>
      <c r="G216" s="13" t="s">
        <v>439</v>
      </c>
      <c r="H216" s="13" t="s">
        <v>295</v>
      </c>
      <c r="I216" s="13" t="s">
        <v>392</v>
      </c>
      <c r="J216" s="13" t="s">
        <v>393</v>
      </c>
      <c r="K216" s="13" t="s">
        <v>328</v>
      </c>
    </row>
    <row r="217" spans="1:11" ht="28" x14ac:dyDescent="0.3">
      <c r="A217" s="27" t="str">
        <f>IF(F217="00","General"&amp;INDEX(问题代码结构!$B$12:$B$20,MATCH($E217,问题代码结构!$C$12:$C$20,0)),D217&amp;F217)</f>
        <v>0509</v>
      </c>
      <c r="B217" s="24" t="str">
        <f t="shared" si="6"/>
        <v>三方会-支持-会议推广材料制作</v>
      </c>
      <c r="C217" s="8" t="str">
        <f t="shared" si="7"/>
        <v>MN050902</v>
      </c>
      <c r="D217" s="13" t="s">
        <v>299</v>
      </c>
      <c r="E217" s="13" t="s">
        <v>519</v>
      </c>
      <c r="F217" s="13" t="s">
        <v>303</v>
      </c>
      <c r="G217" s="13" t="s">
        <v>439</v>
      </c>
      <c r="H217" s="13" t="s">
        <v>296</v>
      </c>
      <c r="I217" s="13" t="s">
        <v>394</v>
      </c>
      <c r="J217" s="13" t="s">
        <v>395</v>
      </c>
      <c r="K217" s="13" t="s">
        <v>396</v>
      </c>
    </row>
    <row r="218" spans="1:11" ht="56" x14ac:dyDescent="0.3">
      <c r="A218" s="27" t="str">
        <f>IF(F218="00","General"&amp;INDEX(问题代码结构!$B$12:$B$20,MATCH($E218,问题代码结构!$C$12:$C$20,0)),D218&amp;F218)</f>
        <v>0510</v>
      </c>
      <c r="B218" s="24" t="str">
        <f t="shared" si="6"/>
        <v>三方会-支持-会议住宿费</v>
      </c>
      <c r="C218" s="8" t="str">
        <f t="shared" si="7"/>
        <v>MN051001</v>
      </c>
      <c r="D218" s="13" t="s">
        <v>299</v>
      </c>
      <c r="E218" s="13" t="s">
        <v>519</v>
      </c>
      <c r="F218" s="13" t="s">
        <v>304</v>
      </c>
      <c r="G218" s="13" t="s">
        <v>440</v>
      </c>
      <c r="H218" s="13" t="s">
        <v>295</v>
      </c>
      <c r="I218" s="13" t="s">
        <v>407</v>
      </c>
      <c r="J218" s="13" t="s">
        <v>408</v>
      </c>
      <c r="K218" s="13" t="s">
        <v>328</v>
      </c>
    </row>
    <row r="219" spans="1:11" ht="28" x14ac:dyDescent="0.3">
      <c r="A219" s="27" t="str">
        <f>IF(F219="00","General"&amp;INDEX(问题代码结构!$B$12:$B$20,MATCH($E219,问题代码结构!$C$12:$C$20,0)),D219&amp;F219)</f>
        <v>0510</v>
      </c>
      <c r="B219" s="24" t="str">
        <f t="shared" si="6"/>
        <v>三方会-支持-会议住宿费</v>
      </c>
      <c r="C219" s="8" t="str">
        <f t="shared" si="7"/>
        <v>MN051002</v>
      </c>
      <c r="D219" s="13" t="s">
        <v>299</v>
      </c>
      <c r="E219" s="13" t="s">
        <v>519</v>
      </c>
      <c r="F219" s="13" t="s">
        <v>304</v>
      </c>
      <c r="G219" s="13" t="s">
        <v>440</v>
      </c>
      <c r="H219" s="13" t="s">
        <v>296</v>
      </c>
      <c r="I219" s="13" t="s">
        <v>392</v>
      </c>
      <c r="J219" s="13" t="s">
        <v>393</v>
      </c>
      <c r="K219" s="13" t="s">
        <v>328</v>
      </c>
    </row>
    <row r="220" spans="1:11" ht="28" x14ac:dyDescent="0.3">
      <c r="A220" s="27" t="str">
        <f>IF(F220="00","General"&amp;INDEX(问题代码结构!$B$12:$B$20,MATCH($E220,问题代码结构!$C$12:$C$20,0)),D220&amp;F220)</f>
        <v>0510</v>
      </c>
      <c r="B220" s="24" t="str">
        <f t="shared" si="6"/>
        <v>三方会-支持-会议住宿费</v>
      </c>
      <c r="C220" s="8" t="str">
        <f t="shared" si="7"/>
        <v>MN051003</v>
      </c>
      <c r="D220" s="13" t="s">
        <v>299</v>
      </c>
      <c r="E220" s="13" t="s">
        <v>519</v>
      </c>
      <c r="F220" s="13" t="s">
        <v>304</v>
      </c>
      <c r="G220" s="13" t="s">
        <v>440</v>
      </c>
      <c r="H220" s="13" t="s">
        <v>297</v>
      </c>
      <c r="I220" s="13" t="s">
        <v>394</v>
      </c>
      <c r="J220" s="13" t="s">
        <v>395</v>
      </c>
      <c r="K220" s="13" t="s">
        <v>396</v>
      </c>
    </row>
    <row r="221" spans="1:11" ht="28" x14ac:dyDescent="0.3">
      <c r="A221" s="27" t="str">
        <f>IF(F221="00","General"&amp;INDEX(问题代码结构!$B$12:$B$20,MATCH($E221,问题代码结构!$C$12:$C$20,0)),D221&amp;F221)</f>
        <v>0511</v>
      </c>
      <c r="B221" s="24" t="str">
        <f t="shared" si="6"/>
        <v>三方会-支持-会议杂项开支</v>
      </c>
      <c r="C221" s="8" t="str">
        <f t="shared" si="7"/>
        <v>MN051101</v>
      </c>
      <c r="D221" s="13" t="s">
        <v>299</v>
      </c>
      <c r="E221" s="13" t="s">
        <v>519</v>
      </c>
      <c r="F221" s="13" t="s">
        <v>305</v>
      </c>
      <c r="G221" s="13" t="s">
        <v>441</v>
      </c>
      <c r="H221" s="13" t="s">
        <v>295</v>
      </c>
      <c r="I221" s="13" t="s">
        <v>392</v>
      </c>
      <c r="J221" s="13" t="s">
        <v>393</v>
      </c>
      <c r="K221" s="13" t="s">
        <v>328</v>
      </c>
    </row>
    <row r="222" spans="1:11" ht="28" x14ac:dyDescent="0.3">
      <c r="A222" s="27" t="str">
        <f>IF(F222="00","General"&amp;INDEX(问题代码结构!$B$12:$B$20,MATCH($E222,问题代码结构!$C$12:$C$20,0)),D222&amp;F222)</f>
        <v>0511</v>
      </c>
      <c r="B222" s="24" t="str">
        <f t="shared" si="6"/>
        <v>三方会-支持-会议杂项开支</v>
      </c>
      <c r="C222" s="8" t="str">
        <f t="shared" si="7"/>
        <v>MN051102</v>
      </c>
      <c r="D222" s="13" t="s">
        <v>299</v>
      </c>
      <c r="E222" s="13" t="s">
        <v>519</v>
      </c>
      <c r="F222" s="13" t="s">
        <v>305</v>
      </c>
      <c r="G222" s="13" t="s">
        <v>441</v>
      </c>
      <c r="H222" s="13" t="s">
        <v>296</v>
      </c>
      <c r="I222" s="13" t="s">
        <v>394</v>
      </c>
      <c r="J222" s="13" t="s">
        <v>395</v>
      </c>
      <c r="K222" s="13" t="s">
        <v>396</v>
      </c>
    </row>
    <row r="223" spans="1:11" ht="28" x14ac:dyDescent="0.3">
      <c r="A223" s="27" t="str">
        <f>IF(F223="00","General"&amp;INDEX(问题代码结构!$B$12:$B$20,MATCH($E223,问题代码结构!$C$12:$C$20,0)),D223&amp;F223)</f>
        <v>0601</v>
      </c>
      <c r="B223" s="24" t="str">
        <f t="shared" si="6"/>
        <v>培训会-会议讲课费</v>
      </c>
      <c r="C223" s="8" t="str">
        <f t="shared" si="7"/>
        <v>MN060101</v>
      </c>
      <c r="D223" s="13" t="s">
        <v>300</v>
      </c>
      <c r="E223" s="13" t="s">
        <v>528</v>
      </c>
      <c r="F223" s="13" t="s">
        <v>295</v>
      </c>
      <c r="G223" s="13" t="s">
        <v>431</v>
      </c>
      <c r="H223" s="13" t="s">
        <v>295</v>
      </c>
      <c r="I223" s="13" t="s">
        <v>360</v>
      </c>
      <c r="J223" s="13" t="s">
        <v>361</v>
      </c>
      <c r="K223" s="13" t="s">
        <v>362</v>
      </c>
    </row>
    <row r="224" spans="1:11" ht="28" x14ac:dyDescent="0.3">
      <c r="A224" s="27" t="str">
        <f>IF(F224="00","General"&amp;INDEX(问题代码结构!$B$12:$B$20,MATCH($E224,问题代码结构!$C$12:$C$20,0)),D224&amp;F224)</f>
        <v>0601</v>
      </c>
      <c r="B224" s="24" t="str">
        <f t="shared" si="6"/>
        <v>培训会-会议讲课费</v>
      </c>
      <c r="C224" s="8" t="str">
        <f t="shared" si="7"/>
        <v>MN060102</v>
      </c>
      <c r="D224" s="13" t="s">
        <v>300</v>
      </c>
      <c r="E224" s="13" t="s">
        <v>528</v>
      </c>
      <c r="F224" s="13" t="s">
        <v>295</v>
      </c>
      <c r="G224" s="13" t="s">
        <v>431</v>
      </c>
      <c r="H224" s="13" t="s">
        <v>296</v>
      </c>
      <c r="I224" s="13" t="s">
        <v>363</v>
      </c>
      <c r="J224" s="13" t="s">
        <v>364</v>
      </c>
      <c r="K224" s="13" t="s">
        <v>328</v>
      </c>
    </row>
    <row r="225" spans="1:11" ht="28" x14ac:dyDescent="0.3">
      <c r="A225" s="27" t="str">
        <f>IF(F225="00","General"&amp;INDEX(问题代码结构!$B$12:$B$20,MATCH($E225,问题代码结构!$C$12:$C$20,0)),D225&amp;F225)</f>
        <v>0601</v>
      </c>
      <c r="B225" s="24" t="str">
        <f t="shared" si="6"/>
        <v>培训会-会议讲课费</v>
      </c>
      <c r="C225" s="8" t="str">
        <f t="shared" si="7"/>
        <v>MN060103</v>
      </c>
      <c r="D225" s="13" t="s">
        <v>300</v>
      </c>
      <c r="E225" s="13" t="s">
        <v>528</v>
      </c>
      <c r="F225" s="13" t="s">
        <v>295</v>
      </c>
      <c r="G225" s="13" t="s">
        <v>431</v>
      </c>
      <c r="H225" s="13" t="s">
        <v>297</v>
      </c>
      <c r="I225" s="13" t="s">
        <v>365</v>
      </c>
      <c r="J225" s="13" t="s">
        <v>529</v>
      </c>
      <c r="K225" s="13" t="s">
        <v>367</v>
      </c>
    </row>
    <row r="226" spans="1:11" ht="28" x14ac:dyDescent="0.3">
      <c r="A226" s="27" t="str">
        <f>IF(F226="00","General"&amp;INDEX(问题代码结构!$B$12:$B$20,MATCH($E226,问题代码结构!$C$12:$C$20,0)),D226&amp;F226)</f>
        <v>0601</v>
      </c>
      <c r="B226" s="24" t="str">
        <f t="shared" si="6"/>
        <v>培训会-会议讲课费</v>
      </c>
      <c r="C226" s="8" t="str">
        <f t="shared" si="7"/>
        <v>MN060105</v>
      </c>
      <c r="D226" s="13" t="s">
        <v>300</v>
      </c>
      <c r="E226" s="13" t="s">
        <v>528</v>
      </c>
      <c r="F226" s="13" t="s">
        <v>295</v>
      </c>
      <c r="G226" s="13" t="s">
        <v>431</v>
      </c>
      <c r="H226" s="13" t="s">
        <v>299</v>
      </c>
      <c r="I226" s="13" t="s">
        <v>370</v>
      </c>
      <c r="J226" s="13" t="s">
        <v>371</v>
      </c>
      <c r="K226" s="13" t="s">
        <v>372</v>
      </c>
    </row>
    <row r="227" spans="1:11" ht="28" x14ac:dyDescent="0.3">
      <c r="A227" s="27" t="str">
        <f>IF(F227="00","General"&amp;INDEX(问题代码结构!$B$12:$B$20,MATCH($E227,问题代码结构!$C$12:$C$20,0)),D227&amp;F227)</f>
        <v>0601</v>
      </c>
      <c r="B227" s="24" t="str">
        <f t="shared" si="6"/>
        <v>培训会-会议讲课费</v>
      </c>
      <c r="C227" s="8" t="str">
        <f t="shared" si="7"/>
        <v>MN060106</v>
      </c>
      <c r="D227" s="13" t="s">
        <v>300</v>
      </c>
      <c r="E227" s="13" t="s">
        <v>528</v>
      </c>
      <c r="F227" s="13" t="s">
        <v>295</v>
      </c>
      <c r="G227" s="13" t="s">
        <v>431</v>
      </c>
      <c r="H227" s="13" t="s">
        <v>300</v>
      </c>
      <c r="I227" s="13" t="s">
        <v>373</v>
      </c>
      <c r="J227" s="13" t="s">
        <v>530</v>
      </c>
      <c r="K227" s="13" t="s">
        <v>362</v>
      </c>
    </row>
    <row r="228" spans="1:11" ht="28" x14ac:dyDescent="0.3">
      <c r="A228" s="27" t="str">
        <f>IF(F228="00","General"&amp;INDEX(问题代码结构!$B$12:$B$20,MATCH($E228,问题代码结构!$C$12:$C$20,0)),D228&amp;F228)</f>
        <v>0601</v>
      </c>
      <c r="B228" s="24" t="str">
        <f t="shared" si="6"/>
        <v>培训会-会议讲课费</v>
      </c>
      <c r="C228" s="8" t="str">
        <f t="shared" si="7"/>
        <v>MN060107</v>
      </c>
      <c r="D228" s="13" t="s">
        <v>300</v>
      </c>
      <c r="E228" s="13" t="s">
        <v>528</v>
      </c>
      <c r="F228" s="13" t="s">
        <v>295</v>
      </c>
      <c r="G228" s="13" t="s">
        <v>431</v>
      </c>
      <c r="H228" s="13" t="s">
        <v>301</v>
      </c>
      <c r="I228" s="13" t="s">
        <v>375</v>
      </c>
      <c r="J228" s="13" t="s">
        <v>531</v>
      </c>
      <c r="K228" s="13" t="s">
        <v>362</v>
      </c>
    </row>
    <row r="229" spans="1:11" ht="28" x14ac:dyDescent="0.3">
      <c r="A229" s="27" t="str">
        <f>IF(F229="00","General"&amp;INDEX(问题代码结构!$B$12:$B$20,MATCH($E229,问题代码结构!$C$12:$C$20,0)),D229&amp;F229)</f>
        <v>0601</v>
      </c>
      <c r="B229" s="24" t="str">
        <f t="shared" si="6"/>
        <v>培训会-会议讲课费</v>
      </c>
      <c r="C229" s="8" t="str">
        <f t="shared" si="7"/>
        <v>MN060108</v>
      </c>
      <c r="D229" s="13" t="s">
        <v>300</v>
      </c>
      <c r="E229" s="13" t="s">
        <v>528</v>
      </c>
      <c r="F229" s="13" t="s">
        <v>295</v>
      </c>
      <c r="G229" s="13" t="s">
        <v>431</v>
      </c>
      <c r="H229" s="13" t="s">
        <v>302</v>
      </c>
      <c r="I229" s="13" t="s">
        <v>532</v>
      </c>
      <c r="J229" s="13" t="s">
        <v>533</v>
      </c>
      <c r="K229" s="13" t="s">
        <v>379</v>
      </c>
    </row>
    <row r="230" spans="1:11" ht="28" x14ac:dyDescent="0.3">
      <c r="A230" s="27" t="str">
        <f>IF(F230="00","General"&amp;INDEX(问题代码结构!$B$12:$B$20,MATCH($E230,问题代码结构!$C$12:$C$20,0)),D230&amp;F230)</f>
        <v>0601</v>
      </c>
      <c r="B230" s="24" t="str">
        <f t="shared" si="6"/>
        <v>培训会-会议讲课费</v>
      </c>
      <c r="C230" s="8" t="str">
        <f t="shared" si="7"/>
        <v>MN060109</v>
      </c>
      <c r="D230" s="13" t="s">
        <v>300</v>
      </c>
      <c r="E230" s="13" t="s">
        <v>528</v>
      </c>
      <c r="F230" s="13" t="s">
        <v>295</v>
      </c>
      <c r="G230" s="13" t="s">
        <v>431</v>
      </c>
      <c r="H230" s="13" t="s">
        <v>303</v>
      </c>
      <c r="I230" s="13" t="s">
        <v>534</v>
      </c>
      <c r="J230" s="13" t="s">
        <v>535</v>
      </c>
      <c r="K230" s="13" t="s">
        <v>362</v>
      </c>
    </row>
    <row r="231" spans="1:11" ht="28" x14ac:dyDescent="0.3">
      <c r="A231" s="27" t="str">
        <f>IF(F231="00","General"&amp;INDEX(问题代码结构!$B$12:$B$20,MATCH($E231,问题代码结构!$C$12:$C$20,0)),D231&amp;F231)</f>
        <v>General06</v>
      </c>
      <c r="B231" s="24" t="str">
        <f t="shared" si="6"/>
        <v>培训会-通用</v>
      </c>
      <c r="C231" s="8" t="str">
        <f t="shared" si="7"/>
        <v>MN060001</v>
      </c>
      <c r="D231" s="13" t="s">
        <v>300</v>
      </c>
      <c r="E231" s="13" t="s">
        <v>528</v>
      </c>
      <c r="F231" s="25" t="s">
        <v>568</v>
      </c>
      <c r="G231" s="26" t="s">
        <v>570</v>
      </c>
      <c r="H231" s="13" t="s">
        <v>295</v>
      </c>
      <c r="I231" s="13" t="s">
        <v>473</v>
      </c>
      <c r="J231" s="13" t="s">
        <v>536</v>
      </c>
      <c r="K231" s="13" t="s">
        <v>326</v>
      </c>
    </row>
    <row r="232" spans="1:11" ht="28" x14ac:dyDescent="0.3">
      <c r="A232" s="27" t="str">
        <f>IF(F232="00","General"&amp;INDEX(问题代码结构!$B$12:$B$20,MATCH($E232,问题代码结构!$C$12:$C$20,0)),D232&amp;F232)</f>
        <v>General06</v>
      </c>
      <c r="B232" s="24" t="str">
        <f t="shared" si="6"/>
        <v>培训会-通用</v>
      </c>
      <c r="C232" s="8" t="str">
        <f t="shared" si="7"/>
        <v>MN060002</v>
      </c>
      <c r="D232" s="13" t="s">
        <v>300</v>
      </c>
      <c r="E232" s="13" t="s">
        <v>528</v>
      </c>
      <c r="F232" s="25" t="s">
        <v>568</v>
      </c>
      <c r="G232" s="26" t="s">
        <v>570</v>
      </c>
      <c r="H232" s="13" t="s">
        <v>296</v>
      </c>
      <c r="I232" s="13" t="s">
        <v>474</v>
      </c>
      <c r="J232" s="13" t="s">
        <v>327</v>
      </c>
      <c r="K232" s="13" t="s">
        <v>328</v>
      </c>
    </row>
    <row r="233" spans="1:11" x14ac:dyDescent="0.3">
      <c r="A233" s="27" t="str">
        <f>IF(F233="00","General"&amp;INDEX(问题代码结构!$B$12:$B$20,MATCH($E233,问题代码结构!$C$12:$C$20,0)),D233&amp;F233)</f>
        <v>General06</v>
      </c>
      <c r="B233" s="24" t="str">
        <f t="shared" si="6"/>
        <v>培训会-通用</v>
      </c>
      <c r="C233" s="8" t="str">
        <f t="shared" si="7"/>
        <v>MN060003</v>
      </c>
      <c r="D233" s="13" t="s">
        <v>300</v>
      </c>
      <c r="E233" s="13" t="s">
        <v>528</v>
      </c>
      <c r="F233" s="25" t="s">
        <v>568</v>
      </c>
      <c r="G233" s="26" t="s">
        <v>570</v>
      </c>
      <c r="H233" s="13" t="s">
        <v>297</v>
      </c>
      <c r="I233" s="13" t="s">
        <v>475</v>
      </c>
      <c r="J233" s="13" t="s">
        <v>329</v>
      </c>
      <c r="K233" s="13" t="s">
        <v>330</v>
      </c>
    </row>
    <row r="234" spans="1:11" ht="28" x14ac:dyDescent="0.3">
      <c r="A234" s="27" t="str">
        <f>IF(F234="00","General"&amp;INDEX(问题代码结构!$B$12:$B$20,MATCH($E234,问题代码结构!$C$12:$C$20,0)),D234&amp;F234)</f>
        <v>General06</v>
      </c>
      <c r="B234" s="24" t="str">
        <f t="shared" si="6"/>
        <v>培训会-通用</v>
      </c>
      <c r="C234" s="8" t="str">
        <f t="shared" si="7"/>
        <v>MN060004</v>
      </c>
      <c r="D234" s="13" t="s">
        <v>300</v>
      </c>
      <c r="E234" s="13" t="s">
        <v>528</v>
      </c>
      <c r="F234" s="25" t="s">
        <v>568</v>
      </c>
      <c r="G234" s="26" t="s">
        <v>570</v>
      </c>
      <c r="H234" s="13" t="s">
        <v>298</v>
      </c>
      <c r="I234" s="13" t="s">
        <v>476</v>
      </c>
      <c r="J234" s="13" t="s">
        <v>331</v>
      </c>
      <c r="K234" s="13" t="s">
        <v>332</v>
      </c>
    </row>
    <row r="235" spans="1:11" x14ac:dyDescent="0.3">
      <c r="A235" s="27" t="str">
        <f>IF(F235="00","General"&amp;INDEX(问题代码结构!$B$12:$B$20,MATCH($E235,问题代码结构!$C$12:$C$20,0)),D235&amp;F235)</f>
        <v>General06</v>
      </c>
      <c r="B235" s="24" t="str">
        <f t="shared" si="6"/>
        <v>培训会-通用</v>
      </c>
      <c r="C235" s="8" t="str">
        <f t="shared" si="7"/>
        <v>MN060005</v>
      </c>
      <c r="D235" s="13" t="s">
        <v>300</v>
      </c>
      <c r="E235" s="13" t="s">
        <v>528</v>
      </c>
      <c r="F235" s="25" t="s">
        <v>568</v>
      </c>
      <c r="G235" s="26" t="s">
        <v>570</v>
      </c>
      <c r="H235" s="13" t="s">
        <v>299</v>
      </c>
      <c r="I235" s="13" t="s">
        <v>477</v>
      </c>
      <c r="J235" s="13" t="s">
        <v>537</v>
      </c>
      <c r="K235" s="13" t="s">
        <v>334</v>
      </c>
    </row>
    <row r="236" spans="1:11" ht="28" x14ac:dyDescent="0.3">
      <c r="A236" s="27" t="str">
        <f>IF(F236="00","General"&amp;INDEX(问题代码结构!$B$12:$B$20,MATCH($E236,问题代码结构!$C$12:$C$20,0)),D236&amp;F236)</f>
        <v>General06</v>
      </c>
      <c r="B236" s="24" t="str">
        <f t="shared" si="6"/>
        <v>培训会-通用</v>
      </c>
      <c r="C236" s="8" t="str">
        <f t="shared" si="7"/>
        <v>MN060006</v>
      </c>
      <c r="D236" s="13" t="s">
        <v>300</v>
      </c>
      <c r="E236" s="13" t="s">
        <v>528</v>
      </c>
      <c r="F236" s="25" t="s">
        <v>568</v>
      </c>
      <c r="G236" s="26" t="s">
        <v>570</v>
      </c>
      <c r="H236" s="13" t="s">
        <v>300</v>
      </c>
      <c r="I236" s="13" t="s">
        <v>479</v>
      </c>
      <c r="J236" s="13" t="s">
        <v>336</v>
      </c>
      <c r="K236" s="13" t="s">
        <v>337</v>
      </c>
    </row>
    <row r="237" spans="1:11" ht="42" x14ac:dyDescent="0.3">
      <c r="A237" s="27" t="str">
        <f>IF(F237="00","General"&amp;INDEX(问题代码结构!$B$12:$B$20,MATCH($E237,问题代码结构!$C$12:$C$20,0)),D237&amp;F237)</f>
        <v>General06</v>
      </c>
      <c r="B237" s="24" t="str">
        <f t="shared" si="6"/>
        <v>培训会-通用</v>
      </c>
      <c r="C237" s="8" t="str">
        <f t="shared" si="7"/>
        <v>MN060007</v>
      </c>
      <c r="D237" s="13" t="s">
        <v>300</v>
      </c>
      <c r="E237" s="13" t="s">
        <v>528</v>
      </c>
      <c r="F237" s="25" t="s">
        <v>568</v>
      </c>
      <c r="G237" s="26" t="s">
        <v>570</v>
      </c>
      <c r="H237" s="13" t="s">
        <v>301</v>
      </c>
      <c r="I237" s="13" t="s">
        <v>480</v>
      </c>
      <c r="J237" s="13" t="s">
        <v>338</v>
      </c>
      <c r="K237" s="13" t="s">
        <v>337</v>
      </c>
    </row>
    <row r="238" spans="1:11" x14ac:dyDescent="0.3">
      <c r="A238" s="27" t="str">
        <f>IF(F238="00","General"&amp;INDEX(问题代码结构!$B$12:$B$20,MATCH($E238,问题代码结构!$C$12:$C$20,0)),D238&amp;F238)</f>
        <v>General06</v>
      </c>
      <c r="B238" s="24" t="str">
        <f t="shared" si="6"/>
        <v>培训会-通用</v>
      </c>
      <c r="C238" s="8" t="str">
        <f t="shared" si="7"/>
        <v>MN060008</v>
      </c>
      <c r="D238" s="13" t="s">
        <v>300</v>
      </c>
      <c r="E238" s="13" t="s">
        <v>528</v>
      </c>
      <c r="F238" s="25" t="s">
        <v>568</v>
      </c>
      <c r="G238" s="26" t="s">
        <v>570</v>
      </c>
      <c r="H238" s="13" t="s">
        <v>302</v>
      </c>
      <c r="I238" s="13" t="s">
        <v>481</v>
      </c>
      <c r="J238" s="13" t="s">
        <v>339</v>
      </c>
      <c r="K238" s="13" t="s">
        <v>340</v>
      </c>
    </row>
    <row r="239" spans="1:11" ht="28" x14ac:dyDescent="0.3">
      <c r="A239" s="27" t="str">
        <f>IF(F239="00","General"&amp;INDEX(问题代码结构!$B$12:$B$20,MATCH($E239,问题代码结构!$C$12:$C$20,0)),D239&amp;F239)</f>
        <v>General06</v>
      </c>
      <c r="B239" s="24" t="str">
        <f t="shared" si="6"/>
        <v>培训会-通用</v>
      </c>
      <c r="C239" s="8" t="str">
        <f t="shared" si="7"/>
        <v>MN060009</v>
      </c>
      <c r="D239" s="13" t="s">
        <v>300</v>
      </c>
      <c r="E239" s="13" t="s">
        <v>528</v>
      </c>
      <c r="F239" s="25" t="s">
        <v>568</v>
      </c>
      <c r="G239" s="26" t="s">
        <v>570</v>
      </c>
      <c r="H239" s="13" t="s">
        <v>303</v>
      </c>
      <c r="I239" s="13" t="s">
        <v>482</v>
      </c>
      <c r="J239" s="13" t="s">
        <v>341</v>
      </c>
      <c r="K239" s="13" t="s">
        <v>328</v>
      </c>
    </row>
    <row r="240" spans="1:11" x14ac:dyDescent="0.3">
      <c r="A240" s="27" t="str">
        <f>IF(F240="00","General"&amp;INDEX(问题代码结构!$B$12:$B$20,MATCH($E240,问题代码结构!$C$12:$C$20,0)),D240&amp;F240)</f>
        <v>General06</v>
      </c>
      <c r="B240" s="24" t="str">
        <f t="shared" si="6"/>
        <v>培训会-通用</v>
      </c>
      <c r="C240" s="8" t="str">
        <f t="shared" si="7"/>
        <v>MN060010</v>
      </c>
      <c r="D240" s="13" t="s">
        <v>300</v>
      </c>
      <c r="E240" s="13" t="s">
        <v>528</v>
      </c>
      <c r="F240" s="25" t="s">
        <v>568</v>
      </c>
      <c r="G240" s="26" t="s">
        <v>570</v>
      </c>
      <c r="H240" s="13" t="s">
        <v>304</v>
      </c>
      <c r="I240" s="13" t="s">
        <v>483</v>
      </c>
      <c r="J240" s="13" t="s">
        <v>342</v>
      </c>
      <c r="K240" s="13" t="s">
        <v>343</v>
      </c>
    </row>
    <row r="241" spans="1:11" ht="42" x14ac:dyDescent="0.3">
      <c r="A241" s="27" t="str">
        <f>IF(F241="00","General"&amp;INDEX(问题代码结构!$B$12:$B$20,MATCH($E241,问题代码结构!$C$12:$C$20,0)),D241&amp;F241)</f>
        <v>General06</v>
      </c>
      <c r="B241" s="24" t="str">
        <f t="shared" si="6"/>
        <v>培训会-通用</v>
      </c>
      <c r="C241" s="8" t="str">
        <f t="shared" si="7"/>
        <v>MN060011</v>
      </c>
      <c r="D241" s="13" t="s">
        <v>300</v>
      </c>
      <c r="E241" s="13" t="s">
        <v>528</v>
      </c>
      <c r="F241" s="25" t="s">
        <v>568</v>
      </c>
      <c r="G241" s="26" t="s">
        <v>570</v>
      </c>
      <c r="H241" s="13" t="s">
        <v>305</v>
      </c>
      <c r="I241" s="13" t="s">
        <v>484</v>
      </c>
      <c r="J241" s="13" t="s">
        <v>344</v>
      </c>
      <c r="K241" s="13" t="s">
        <v>345</v>
      </c>
    </row>
    <row r="242" spans="1:11" ht="28" x14ac:dyDescent="0.3">
      <c r="A242" s="27" t="str">
        <f>IF(F242="00","General"&amp;INDEX(问题代码结构!$B$12:$B$20,MATCH($E242,问题代码结构!$C$12:$C$20,0)),D242&amp;F242)</f>
        <v>General06</v>
      </c>
      <c r="B242" s="24" t="str">
        <f t="shared" si="6"/>
        <v>培训会-通用</v>
      </c>
      <c r="C242" s="8" t="str">
        <f t="shared" si="7"/>
        <v>MN060012</v>
      </c>
      <c r="D242" s="13" t="s">
        <v>300</v>
      </c>
      <c r="E242" s="13" t="s">
        <v>528</v>
      </c>
      <c r="F242" s="25" t="s">
        <v>568</v>
      </c>
      <c r="G242" s="26" t="s">
        <v>570</v>
      </c>
      <c r="H242" s="13" t="s">
        <v>306</v>
      </c>
      <c r="I242" s="13" t="s">
        <v>485</v>
      </c>
      <c r="J242" s="13" t="s">
        <v>346</v>
      </c>
      <c r="K242" s="13" t="s">
        <v>347</v>
      </c>
    </row>
    <row r="243" spans="1:11" ht="28" x14ac:dyDescent="0.3">
      <c r="A243" s="27" t="str">
        <f>IF(F243="00","General"&amp;INDEX(问题代码结构!$B$12:$B$20,MATCH($E243,问题代码结构!$C$12:$C$20,0)),D243&amp;F243)</f>
        <v>General06</v>
      </c>
      <c r="B243" s="24" t="str">
        <f t="shared" si="6"/>
        <v>培训会-通用</v>
      </c>
      <c r="C243" s="8" t="str">
        <f t="shared" si="7"/>
        <v>MN060013</v>
      </c>
      <c r="D243" s="13" t="s">
        <v>300</v>
      </c>
      <c r="E243" s="13" t="s">
        <v>528</v>
      </c>
      <c r="F243" s="25" t="s">
        <v>568</v>
      </c>
      <c r="G243" s="26" t="s">
        <v>570</v>
      </c>
      <c r="H243" s="13" t="s">
        <v>307</v>
      </c>
      <c r="I243" s="13" t="s">
        <v>486</v>
      </c>
      <c r="J243" s="13" t="s">
        <v>348</v>
      </c>
      <c r="K243" s="13" t="s">
        <v>347</v>
      </c>
    </row>
    <row r="244" spans="1:11" ht="42" x14ac:dyDescent="0.3">
      <c r="A244" s="27" t="str">
        <f>IF(F244="00","General"&amp;INDEX(问题代码结构!$B$12:$B$20,MATCH($E244,问题代码结构!$C$12:$C$20,0)),D244&amp;F244)</f>
        <v>General06</v>
      </c>
      <c r="B244" s="24" t="str">
        <f t="shared" si="6"/>
        <v>培训会-通用</v>
      </c>
      <c r="C244" s="8" t="str">
        <f t="shared" si="7"/>
        <v>MN060014</v>
      </c>
      <c r="D244" s="13" t="s">
        <v>300</v>
      </c>
      <c r="E244" s="13" t="s">
        <v>528</v>
      </c>
      <c r="F244" s="25" t="s">
        <v>568</v>
      </c>
      <c r="G244" s="26" t="s">
        <v>570</v>
      </c>
      <c r="H244" s="13" t="s">
        <v>308</v>
      </c>
      <c r="I244" s="13" t="s">
        <v>487</v>
      </c>
      <c r="J244" s="13" t="s">
        <v>349</v>
      </c>
      <c r="K244" s="13" t="s">
        <v>347</v>
      </c>
    </row>
    <row r="245" spans="1:11" x14ac:dyDescent="0.3">
      <c r="A245" s="27" t="str">
        <f>IF(F245="00","General"&amp;INDEX(问题代码结构!$B$12:$B$20,MATCH($E245,问题代码结构!$C$12:$C$20,0)),D245&amp;F245)</f>
        <v>General06</v>
      </c>
      <c r="B245" s="24" t="str">
        <f t="shared" si="6"/>
        <v>培训会-通用</v>
      </c>
      <c r="C245" s="8" t="str">
        <f t="shared" si="7"/>
        <v>MN060015</v>
      </c>
      <c r="D245" s="13" t="s">
        <v>300</v>
      </c>
      <c r="E245" s="13" t="s">
        <v>528</v>
      </c>
      <c r="F245" s="25" t="s">
        <v>568</v>
      </c>
      <c r="G245" s="26" t="s">
        <v>570</v>
      </c>
      <c r="H245" s="13" t="s">
        <v>309</v>
      </c>
      <c r="I245" s="13" t="s">
        <v>488</v>
      </c>
      <c r="J245" s="13" t="s">
        <v>350</v>
      </c>
      <c r="K245" s="13" t="s">
        <v>347</v>
      </c>
    </row>
    <row r="246" spans="1:11" ht="28" x14ac:dyDescent="0.3">
      <c r="A246" s="27" t="str">
        <f>IF(F246="00","General"&amp;INDEX(问题代码结构!$B$12:$B$20,MATCH($E246,问题代码结构!$C$12:$C$20,0)),D246&amp;F246)</f>
        <v>General06</v>
      </c>
      <c r="B246" s="24" t="str">
        <f t="shared" si="6"/>
        <v>培训会-通用</v>
      </c>
      <c r="C246" s="8" t="str">
        <f t="shared" si="7"/>
        <v>MN060016</v>
      </c>
      <c r="D246" s="13" t="s">
        <v>300</v>
      </c>
      <c r="E246" s="13" t="s">
        <v>528</v>
      </c>
      <c r="F246" s="25" t="s">
        <v>568</v>
      </c>
      <c r="G246" s="26" t="s">
        <v>570</v>
      </c>
      <c r="H246" s="13" t="s">
        <v>310</v>
      </c>
      <c r="I246" s="13" t="s">
        <v>489</v>
      </c>
      <c r="J246" s="13" t="s">
        <v>538</v>
      </c>
      <c r="K246" s="13" t="s">
        <v>347</v>
      </c>
    </row>
    <row r="247" spans="1:11" x14ac:dyDescent="0.3">
      <c r="A247" s="27" t="str">
        <f>IF(F247="00","General"&amp;INDEX(问题代码结构!$B$12:$B$20,MATCH($E247,问题代码结构!$C$12:$C$20,0)),D247&amp;F247)</f>
        <v>General06</v>
      </c>
      <c r="B247" s="24" t="str">
        <f t="shared" si="6"/>
        <v>培训会-通用</v>
      </c>
      <c r="C247" s="8" t="str">
        <f t="shared" si="7"/>
        <v>MN060017</v>
      </c>
      <c r="D247" s="13" t="s">
        <v>300</v>
      </c>
      <c r="E247" s="13" t="s">
        <v>528</v>
      </c>
      <c r="F247" s="25" t="s">
        <v>568</v>
      </c>
      <c r="G247" s="26" t="s">
        <v>570</v>
      </c>
      <c r="H247" s="13" t="s">
        <v>311</v>
      </c>
      <c r="I247" s="13" t="s">
        <v>490</v>
      </c>
      <c r="J247" s="13" t="s">
        <v>539</v>
      </c>
      <c r="K247" s="13" t="s">
        <v>353</v>
      </c>
    </row>
    <row r="248" spans="1:11" ht="42" x14ac:dyDescent="0.3">
      <c r="A248" s="27" t="str">
        <f>IF(F248="00","General"&amp;INDEX(问题代码结构!$B$12:$B$20,MATCH($E248,问题代码结构!$C$12:$C$20,0)),D248&amp;F248)</f>
        <v>General06</v>
      </c>
      <c r="B248" s="24" t="str">
        <f t="shared" si="6"/>
        <v>培训会-通用</v>
      </c>
      <c r="C248" s="8" t="str">
        <f t="shared" si="7"/>
        <v>MN060018</v>
      </c>
      <c r="D248" s="13" t="s">
        <v>300</v>
      </c>
      <c r="E248" s="13" t="s">
        <v>528</v>
      </c>
      <c r="F248" s="25" t="s">
        <v>568</v>
      </c>
      <c r="G248" s="26" t="s">
        <v>570</v>
      </c>
      <c r="H248" s="13" t="s">
        <v>312</v>
      </c>
      <c r="I248" s="13" t="s">
        <v>492</v>
      </c>
      <c r="J248" s="13" t="s">
        <v>356</v>
      </c>
      <c r="K248" s="13" t="s">
        <v>357</v>
      </c>
    </row>
    <row r="249" spans="1:11" ht="28" x14ac:dyDescent="0.3">
      <c r="A249" s="27" t="str">
        <f>IF(F249="00","General"&amp;INDEX(问题代码结构!$B$12:$B$20,MATCH($E249,问题代码结构!$C$12:$C$20,0)),D249&amp;F249)</f>
        <v>General06</v>
      </c>
      <c r="B249" s="24" t="str">
        <f t="shared" si="6"/>
        <v>培训会-通用</v>
      </c>
      <c r="C249" s="8" t="str">
        <f t="shared" si="7"/>
        <v>MN060019</v>
      </c>
      <c r="D249" s="13" t="s">
        <v>300</v>
      </c>
      <c r="E249" s="13" t="s">
        <v>528</v>
      </c>
      <c r="F249" s="25" t="s">
        <v>568</v>
      </c>
      <c r="G249" s="26" t="s">
        <v>570</v>
      </c>
      <c r="H249" s="13" t="s">
        <v>313</v>
      </c>
      <c r="I249" s="13" t="s">
        <v>493</v>
      </c>
      <c r="J249" s="13" t="s">
        <v>540</v>
      </c>
      <c r="K249" s="13" t="s">
        <v>359</v>
      </c>
    </row>
    <row r="250" spans="1:11" ht="28" x14ac:dyDescent="0.3">
      <c r="A250" s="27" t="str">
        <f>IF(F250="00","General"&amp;INDEX(问题代码结构!$B$12:$B$20,MATCH($E250,问题代码结构!$C$12:$C$20,0)),D250&amp;F250)</f>
        <v>0602</v>
      </c>
      <c r="B250" s="24" t="str">
        <f t="shared" si="6"/>
        <v>培训会-会议餐费</v>
      </c>
      <c r="C250" s="8" t="str">
        <f t="shared" si="7"/>
        <v>MN060201</v>
      </c>
      <c r="D250" s="13" t="s">
        <v>300</v>
      </c>
      <c r="E250" s="13" t="s">
        <v>528</v>
      </c>
      <c r="F250" s="13" t="s">
        <v>296</v>
      </c>
      <c r="G250" s="13" t="s">
        <v>432</v>
      </c>
      <c r="H250" s="13" t="s">
        <v>295</v>
      </c>
      <c r="I250" s="13" t="s">
        <v>382</v>
      </c>
      <c r="J250" s="13" t="s">
        <v>383</v>
      </c>
      <c r="K250" s="13" t="s">
        <v>328</v>
      </c>
    </row>
    <row r="251" spans="1:11" ht="28" x14ac:dyDescent="0.3">
      <c r="A251" s="27" t="str">
        <f>IF(F251="00","General"&amp;INDEX(问题代码结构!$B$12:$B$20,MATCH($E251,问题代码结构!$C$12:$C$20,0)),D251&amp;F251)</f>
        <v>0602</v>
      </c>
      <c r="B251" s="24" t="str">
        <f t="shared" si="6"/>
        <v>培训会-会议餐费</v>
      </c>
      <c r="C251" s="8" t="str">
        <f t="shared" si="7"/>
        <v>MN060202</v>
      </c>
      <c r="D251" s="13" t="s">
        <v>300</v>
      </c>
      <c r="E251" s="13" t="s">
        <v>528</v>
      </c>
      <c r="F251" s="13" t="s">
        <v>296</v>
      </c>
      <c r="G251" s="13" t="s">
        <v>432</v>
      </c>
      <c r="H251" s="13" t="s">
        <v>296</v>
      </c>
      <c r="I251" s="13" t="s">
        <v>384</v>
      </c>
      <c r="J251" s="13" t="s">
        <v>385</v>
      </c>
      <c r="K251" s="13" t="s">
        <v>386</v>
      </c>
    </row>
    <row r="252" spans="1:11" ht="28" x14ac:dyDescent="0.3">
      <c r="A252" s="27" t="str">
        <f>IF(F252="00","General"&amp;INDEX(问题代码结构!$B$12:$B$20,MATCH($E252,问题代码结构!$C$12:$C$20,0)),D252&amp;F252)</f>
        <v>0602</v>
      </c>
      <c r="B252" s="24" t="str">
        <f t="shared" si="6"/>
        <v>培训会-会议餐费</v>
      </c>
      <c r="C252" s="8" t="str">
        <f t="shared" si="7"/>
        <v>MN060203</v>
      </c>
      <c r="D252" s="13" t="s">
        <v>300</v>
      </c>
      <c r="E252" s="13" t="s">
        <v>528</v>
      </c>
      <c r="F252" s="13" t="s">
        <v>296</v>
      </c>
      <c r="G252" s="13" t="s">
        <v>432</v>
      </c>
      <c r="H252" s="13" t="s">
        <v>297</v>
      </c>
      <c r="I252" s="13" t="s">
        <v>387</v>
      </c>
      <c r="J252" s="13" t="s">
        <v>388</v>
      </c>
      <c r="K252" s="13" t="s">
        <v>328</v>
      </c>
    </row>
    <row r="253" spans="1:11" ht="28" x14ac:dyDescent="0.3">
      <c r="A253" s="27" t="str">
        <f>IF(F253="00","General"&amp;INDEX(问题代码结构!$B$12:$B$20,MATCH($E253,问题代码结构!$C$12:$C$20,0)),D253&amp;F253)</f>
        <v>0602</v>
      </c>
      <c r="B253" s="24" t="str">
        <f t="shared" si="6"/>
        <v>培训会-会议餐费</v>
      </c>
      <c r="C253" s="8" t="str">
        <f t="shared" si="7"/>
        <v>MN060204</v>
      </c>
      <c r="D253" s="13" t="s">
        <v>300</v>
      </c>
      <c r="E253" s="13" t="s">
        <v>528</v>
      </c>
      <c r="F253" s="13" t="s">
        <v>296</v>
      </c>
      <c r="G253" s="13" t="s">
        <v>432</v>
      </c>
      <c r="H253" s="13" t="s">
        <v>298</v>
      </c>
      <c r="I253" s="13" t="s">
        <v>389</v>
      </c>
      <c r="J253" s="13" t="s">
        <v>390</v>
      </c>
      <c r="K253" s="13" t="s">
        <v>391</v>
      </c>
    </row>
    <row r="254" spans="1:11" ht="28" x14ac:dyDescent="0.3">
      <c r="A254" s="27" t="str">
        <f>IF(F254="00","General"&amp;INDEX(问题代码结构!$B$12:$B$20,MATCH($E254,问题代码结构!$C$12:$C$20,0)),D254&amp;F254)</f>
        <v>0602</v>
      </c>
      <c r="B254" s="24" t="str">
        <f t="shared" si="6"/>
        <v>培训会-会议餐费</v>
      </c>
      <c r="C254" s="8" t="str">
        <f t="shared" si="7"/>
        <v>MN060205</v>
      </c>
      <c r="D254" s="13" t="s">
        <v>300</v>
      </c>
      <c r="E254" s="13" t="s">
        <v>528</v>
      </c>
      <c r="F254" s="13" t="s">
        <v>296</v>
      </c>
      <c r="G254" s="13" t="s">
        <v>432</v>
      </c>
      <c r="H254" s="13" t="s">
        <v>299</v>
      </c>
      <c r="I254" s="13" t="s">
        <v>392</v>
      </c>
      <c r="J254" s="13" t="s">
        <v>393</v>
      </c>
      <c r="K254" s="13" t="s">
        <v>328</v>
      </c>
    </row>
    <row r="255" spans="1:11" ht="28" x14ac:dyDescent="0.3">
      <c r="A255" s="27" t="str">
        <f>IF(F255="00","General"&amp;INDEX(问题代码结构!$B$12:$B$20,MATCH($E255,问题代码结构!$C$12:$C$20,0)),D255&amp;F255)</f>
        <v>0602</v>
      </c>
      <c r="B255" s="24" t="str">
        <f t="shared" si="6"/>
        <v>培训会-会议餐费</v>
      </c>
      <c r="C255" s="8" t="str">
        <f t="shared" si="7"/>
        <v>MN060206</v>
      </c>
      <c r="D255" s="13" t="s">
        <v>300</v>
      </c>
      <c r="E255" s="13" t="s">
        <v>528</v>
      </c>
      <c r="F255" s="13" t="s">
        <v>296</v>
      </c>
      <c r="G255" s="13" t="s">
        <v>432</v>
      </c>
      <c r="H255" s="13" t="s">
        <v>300</v>
      </c>
      <c r="I255" s="13" t="s">
        <v>394</v>
      </c>
      <c r="J255" s="13" t="s">
        <v>395</v>
      </c>
      <c r="K255" s="13" t="s">
        <v>396</v>
      </c>
    </row>
    <row r="256" spans="1:11" ht="42" x14ac:dyDescent="0.3">
      <c r="A256" s="27" t="str">
        <f>IF(F256="00","General"&amp;INDEX(问题代码结构!$B$12:$B$20,MATCH($E256,问题代码结构!$C$12:$C$20,0)),D256&amp;F256)</f>
        <v>0603</v>
      </c>
      <c r="B256" s="24" t="str">
        <f t="shared" si="6"/>
        <v>培训会-会议交通费</v>
      </c>
      <c r="C256" s="8" t="str">
        <f t="shared" si="7"/>
        <v>MN060301</v>
      </c>
      <c r="D256" s="13" t="s">
        <v>300</v>
      </c>
      <c r="E256" s="13" t="s">
        <v>528</v>
      </c>
      <c r="F256" s="13" t="s">
        <v>297</v>
      </c>
      <c r="G256" s="13" t="s">
        <v>433</v>
      </c>
      <c r="H256" s="13" t="s">
        <v>295</v>
      </c>
      <c r="I256" s="13" t="s">
        <v>397</v>
      </c>
      <c r="J256" s="13" t="s">
        <v>398</v>
      </c>
      <c r="K256" s="13" t="s">
        <v>328</v>
      </c>
    </row>
    <row r="257" spans="1:11" ht="42" x14ac:dyDescent="0.3">
      <c r="A257" s="27" t="str">
        <f>IF(F257="00","General"&amp;INDEX(问题代码结构!$B$12:$B$20,MATCH($E257,问题代码结构!$C$12:$C$20,0)),D257&amp;F257)</f>
        <v>0604</v>
      </c>
      <c r="B257" s="24" t="str">
        <f t="shared" si="6"/>
        <v>培训会-会议租车费</v>
      </c>
      <c r="C257" s="8" t="str">
        <f t="shared" si="7"/>
        <v>MN060401</v>
      </c>
      <c r="D257" s="13" t="s">
        <v>300</v>
      </c>
      <c r="E257" s="13" t="s">
        <v>528</v>
      </c>
      <c r="F257" s="13" t="s">
        <v>298</v>
      </c>
      <c r="G257" s="13" t="s">
        <v>434</v>
      </c>
      <c r="H257" s="13" t="s">
        <v>295</v>
      </c>
      <c r="I257" s="13" t="s">
        <v>399</v>
      </c>
      <c r="J257" s="13" t="s">
        <v>400</v>
      </c>
      <c r="K257" s="13" t="s">
        <v>332</v>
      </c>
    </row>
    <row r="258" spans="1:11" ht="28" x14ac:dyDescent="0.3">
      <c r="A258" s="27" t="str">
        <f>IF(F258="00","General"&amp;INDEX(问题代码结构!$B$12:$B$20,MATCH($E258,问题代码结构!$C$12:$C$20,0)),D258&amp;F258)</f>
        <v>0604</v>
      </c>
      <c r="B258" s="24" t="str">
        <f t="shared" si="6"/>
        <v>培训会-会议租车费</v>
      </c>
      <c r="C258" s="8" t="str">
        <f t="shared" si="7"/>
        <v>MN060402</v>
      </c>
      <c r="D258" s="13" t="s">
        <v>300</v>
      </c>
      <c r="E258" s="13" t="s">
        <v>528</v>
      </c>
      <c r="F258" s="13" t="s">
        <v>298</v>
      </c>
      <c r="G258" s="13" t="s">
        <v>434</v>
      </c>
      <c r="H258" s="13" t="s">
        <v>296</v>
      </c>
      <c r="I258" s="13" t="s">
        <v>392</v>
      </c>
      <c r="J258" s="13" t="s">
        <v>393</v>
      </c>
      <c r="K258" s="13" t="s">
        <v>328</v>
      </c>
    </row>
    <row r="259" spans="1:11" ht="28" x14ac:dyDescent="0.3">
      <c r="A259" s="27" t="str">
        <f>IF(F259="00","General"&amp;INDEX(问题代码结构!$B$12:$B$20,MATCH($E259,问题代码结构!$C$12:$C$20,0)),D259&amp;F259)</f>
        <v>0604</v>
      </c>
      <c r="B259" s="24" t="str">
        <f t="shared" ref="B259:B322" si="8">E259&amp;"-"&amp;G259</f>
        <v>培训会-会议租车费</v>
      </c>
      <c r="C259" s="8" t="str">
        <f t="shared" ref="C259:C322" si="9">"MN"&amp;D259&amp;F259&amp;H259</f>
        <v>MN060403</v>
      </c>
      <c r="D259" s="13" t="s">
        <v>300</v>
      </c>
      <c r="E259" s="13" t="s">
        <v>528</v>
      </c>
      <c r="F259" s="13" t="s">
        <v>298</v>
      </c>
      <c r="G259" s="13" t="s">
        <v>434</v>
      </c>
      <c r="H259" s="13" t="s">
        <v>297</v>
      </c>
      <c r="I259" s="13" t="s">
        <v>394</v>
      </c>
      <c r="J259" s="13" t="s">
        <v>395</v>
      </c>
      <c r="K259" s="13" t="s">
        <v>396</v>
      </c>
    </row>
    <row r="260" spans="1:11" ht="42" x14ac:dyDescent="0.3">
      <c r="A260" s="27" t="str">
        <f>IF(F260="00","General"&amp;INDEX(问题代码结构!$B$12:$B$20,MATCH($E260,问题代码结构!$C$12:$C$20,0)),D260&amp;F260)</f>
        <v>0605</v>
      </c>
      <c r="B260" s="24" t="str">
        <f t="shared" si="8"/>
        <v>培训会-会议火车票</v>
      </c>
      <c r="C260" s="8" t="str">
        <f t="shared" si="9"/>
        <v>MN060501</v>
      </c>
      <c r="D260" s="13" t="s">
        <v>300</v>
      </c>
      <c r="E260" s="13" t="s">
        <v>528</v>
      </c>
      <c r="F260" s="13" t="s">
        <v>299</v>
      </c>
      <c r="G260" s="13" t="s">
        <v>435</v>
      </c>
      <c r="H260" s="13" t="s">
        <v>295</v>
      </c>
      <c r="I260" s="13" t="s">
        <v>401</v>
      </c>
      <c r="J260" s="13" t="s">
        <v>402</v>
      </c>
      <c r="K260" s="13" t="s">
        <v>328</v>
      </c>
    </row>
    <row r="261" spans="1:11" ht="28" x14ac:dyDescent="0.3">
      <c r="A261" s="27" t="str">
        <f>IF(F261="00","General"&amp;INDEX(问题代码结构!$B$12:$B$20,MATCH($E261,问题代码结构!$C$12:$C$20,0)),D261&amp;F261)</f>
        <v>0606</v>
      </c>
      <c r="B261" s="24" t="str">
        <f t="shared" si="8"/>
        <v>培训会-会议茶歇</v>
      </c>
      <c r="C261" s="8" t="str">
        <f t="shared" si="9"/>
        <v>MN060601</v>
      </c>
      <c r="D261" s="13" t="s">
        <v>300</v>
      </c>
      <c r="E261" s="13" t="s">
        <v>528</v>
      </c>
      <c r="F261" s="13" t="s">
        <v>300</v>
      </c>
      <c r="G261" s="13" t="s">
        <v>436</v>
      </c>
      <c r="H261" s="13" t="s">
        <v>295</v>
      </c>
      <c r="I261" s="13" t="s">
        <v>403</v>
      </c>
      <c r="J261" s="13" t="s">
        <v>404</v>
      </c>
      <c r="K261" s="13" t="s">
        <v>386</v>
      </c>
    </row>
    <row r="262" spans="1:11" ht="28" x14ac:dyDescent="0.3">
      <c r="A262" s="27" t="str">
        <f>IF(F262="00","General"&amp;INDEX(问题代码结构!$B$12:$B$20,MATCH($E262,问题代码结构!$C$12:$C$20,0)),D262&amp;F262)</f>
        <v>0606</v>
      </c>
      <c r="B262" s="24" t="str">
        <f t="shared" si="8"/>
        <v>培训会-会议茶歇</v>
      </c>
      <c r="C262" s="8" t="str">
        <f t="shared" si="9"/>
        <v>MN060602</v>
      </c>
      <c r="D262" s="13" t="s">
        <v>300</v>
      </c>
      <c r="E262" s="13" t="s">
        <v>528</v>
      </c>
      <c r="F262" s="13" t="s">
        <v>300</v>
      </c>
      <c r="G262" s="13" t="s">
        <v>436</v>
      </c>
      <c r="H262" s="13" t="s">
        <v>296</v>
      </c>
      <c r="I262" s="13" t="s">
        <v>405</v>
      </c>
      <c r="J262" s="13" t="s">
        <v>406</v>
      </c>
      <c r="K262" s="13" t="s">
        <v>328</v>
      </c>
    </row>
    <row r="263" spans="1:11" ht="28" x14ac:dyDescent="0.3">
      <c r="A263" s="27" t="str">
        <f>IF(F263="00","General"&amp;INDEX(问题代码结构!$B$12:$B$20,MATCH($E263,问题代码结构!$C$12:$C$20,0)),D263&amp;F263)</f>
        <v>0606</v>
      </c>
      <c r="B263" s="24" t="str">
        <f t="shared" si="8"/>
        <v>培训会-会议茶歇</v>
      </c>
      <c r="C263" s="8" t="str">
        <f t="shared" si="9"/>
        <v>MN060603</v>
      </c>
      <c r="D263" s="13" t="s">
        <v>300</v>
      </c>
      <c r="E263" s="13" t="s">
        <v>528</v>
      </c>
      <c r="F263" s="13" t="s">
        <v>300</v>
      </c>
      <c r="G263" s="13" t="s">
        <v>436</v>
      </c>
      <c r="H263" s="13" t="s">
        <v>297</v>
      </c>
      <c r="I263" s="13" t="s">
        <v>392</v>
      </c>
      <c r="J263" s="13" t="s">
        <v>393</v>
      </c>
      <c r="K263" s="13" t="s">
        <v>328</v>
      </c>
    </row>
    <row r="264" spans="1:11" ht="28" x14ac:dyDescent="0.3">
      <c r="A264" s="27" t="str">
        <f>IF(F264="00","General"&amp;INDEX(问题代码结构!$B$12:$B$20,MATCH($E264,问题代码结构!$C$12:$C$20,0)),D264&amp;F264)</f>
        <v>0606</v>
      </c>
      <c r="B264" s="24" t="str">
        <f t="shared" si="8"/>
        <v>培训会-会议茶歇</v>
      </c>
      <c r="C264" s="8" t="str">
        <f t="shared" si="9"/>
        <v>MN060604</v>
      </c>
      <c r="D264" s="13" t="s">
        <v>300</v>
      </c>
      <c r="E264" s="13" t="s">
        <v>528</v>
      </c>
      <c r="F264" s="13" t="s">
        <v>300</v>
      </c>
      <c r="G264" s="13" t="s">
        <v>436</v>
      </c>
      <c r="H264" s="13" t="s">
        <v>298</v>
      </c>
      <c r="I264" s="13" t="s">
        <v>394</v>
      </c>
      <c r="J264" s="13" t="s">
        <v>395</v>
      </c>
      <c r="K264" s="13" t="s">
        <v>396</v>
      </c>
    </row>
    <row r="265" spans="1:11" ht="28" x14ac:dyDescent="0.3">
      <c r="A265" s="27" t="str">
        <f>IF(F265="00","General"&amp;INDEX(问题代码结构!$B$12:$B$20,MATCH($E265,问题代码结构!$C$12:$C$20,0)),D265&amp;F265)</f>
        <v>0607</v>
      </c>
      <c r="B265" s="24" t="str">
        <f t="shared" si="8"/>
        <v>培训会-会议场租</v>
      </c>
      <c r="C265" s="8" t="str">
        <f t="shared" si="9"/>
        <v>MN060701</v>
      </c>
      <c r="D265" s="13" t="s">
        <v>300</v>
      </c>
      <c r="E265" s="13" t="s">
        <v>528</v>
      </c>
      <c r="F265" s="13" t="s">
        <v>301</v>
      </c>
      <c r="G265" s="13" t="s">
        <v>437</v>
      </c>
      <c r="H265" s="13" t="s">
        <v>295</v>
      </c>
      <c r="I265" s="13" t="s">
        <v>392</v>
      </c>
      <c r="J265" s="13" t="s">
        <v>393</v>
      </c>
      <c r="K265" s="13" t="s">
        <v>328</v>
      </c>
    </row>
    <row r="266" spans="1:11" ht="28" x14ac:dyDescent="0.3">
      <c r="A266" s="27" t="str">
        <f>IF(F266="00","General"&amp;INDEX(问题代码结构!$B$12:$B$20,MATCH($E266,问题代码结构!$C$12:$C$20,0)),D266&amp;F266)</f>
        <v>0607</v>
      </c>
      <c r="B266" s="24" t="str">
        <f t="shared" si="8"/>
        <v>培训会-会议场租</v>
      </c>
      <c r="C266" s="8" t="str">
        <f t="shared" si="9"/>
        <v>MN060702</v>
      </c>
      <c r="D266" s="13" t="s">
        <v>300</v>
      </c>
      <c r="E266" s="13" t="s">
        <v>528</v>
      </c>
      <c r="F266" s="13" t="s">
        <v>301</v>
      </c>
      <c r="G266" s="13" t="s">
        <v>437</v>
      </c>
      <c r="H266" s="13" t="s">
        <v>296</v>
      </c>
      <c r="I266" s="13" t="s">
        <v>394</v>
      </c>
      <c r="J266" s="13" t="s">
        <v>395</v>
      </c>
      <c r="K266" s="13" t="s">
        <v>396</v>
      </c>
    </row>
    <row r="267" spans="1:11" ht="28" x14ac:dyDescent="0.3">
      <c r="A267" s="27" t="str">
        <f>IF(F267="00","General"&amp;INDEX(问题代码结构!$B$12:$B$20,MATCH($E267,问题代码结构!$C$12:$C$20,0)),D267&amp;F267)</f>
        <v>0608</v>
      </c>
      <c r="B267" s="24" t="str">
        <f t="shared" si="8"/>
        <v>培训会-会议个人车辆</v>
      </c>
      <c r="C267" s="8" t="str">
        <f t="shared" si="9"/>
        <v>MN060801</v>
      </c>
      <c r="D267" s="13" t="s">
        <v>300</v>
      </c>
      <c r="E267" s="13" t="s">
        <v>528</v>
      </c>
      <c r="F267" s="13" t="s">
        <v>302</v>
      </c>
      <c r="G267" s="13" t="s">
        <v>438</v>
      </c>
      <c r="H267" s="13" t="s">
        <v>295</v>
      </c>
      <c r="I267" s="13" t="s">
        <v>392</v>
      </c>
      <c r="J267" s="13" t="s">
        <v>393</v>
      </c>
      <c r="K267" s="13" t="s">
        <v>328</v>
      </c>
    </row>
    <row r="268" spans="1:11" ht="28" x14ac:dyDescent="0.3">
      <c r="A268" s="27" t="str">
        <f>IF(F268="00","General"&amp;INDEX(问题代码结构!$B$12:$B$20,MATCH($E268,问题代码结构!$C$12:$C$20,0)),D268&amp;F268)</f>
        <v>0608</v>
      </c>
      <c r="B268" s="24" t="str">
        <f t="shared" si="8"/>
        <v>培训会-会议个人车辆</v>
      </c>
      <c r="C268" s="8" t="str">
        <f t="shared" si="9"/>
        <v>MN060802</v>
      </c>
      <c r="D268" s="13" t="s">
        <v>300</v>
      </c>
      <c r="E268" s="13" t="s">
        <v>528</v>
      </c>
      <c r="F268" s="13" t="s">
        <v>302</v>
      </c>
      <c r="G268" s="13" t="s">
        <v>438</v>
      </c>
      <c r="H268" s="13" t="s">
        <v>296</v>
      </c>
      <c r="I268" s="13" t="s">
        <v>394</v>
      </c>
      <c r="J268" s="13" t="s">
        <v>395</v>
      </c>
      <c r="K268" s="13" t="s">
        <v>396</v>
      </c>
    </row>
    <row r="269" spans="1:11" ht="56" x14ac:dyDescent="0.3">
      <c r="A269" s="27" t="str">
        <f>IF(F269="00","General"&amp;INDEX(问题代码结构!$B$12:$B$20,MATCH($E269,问题代码结构!$C$12:$C$20,0)),D269&amp;F269)</f>
        <v>0610</v>
      </c>
      <c r="B269" s="24" t="str">
        <f t="shared" si="8"/>
        <v>培训会-会议住宿费</v>
      </c>
      <c r="C269" s="8" t="str">
        <f t="shared" si="9"/>
        <v>MN061001</v>
      </c>
      <c r="D269" s="13" t="s">
        <v>300</v>
      </c>
      <c r="E269" s="13" t="s">
        <v>528</v>
      </c>
      <c r="F269" s="13" t="s">
        <v>304</v>
      </c>
      <c r="G269" s="13" t="s">
        <v>440</v>
      </c>
      <c r="H269" s="13" t="s">
        <v>295</v>
      </c>
      <c r="I269" s="13" t="s">
        <v>407</v>
      </c>
      <c r="J269" s="13" t="s">
        <v>408</v>
      </c>
      <c r="K269" s="13" t="s">
        <v>328</v>
      </c>
    </row>
    <row r="270" spans="1:11" ht="28" x14ac:dyDescent="0.3">
      <c r="A270" s="27" t="str">
        <f>IF(F270="00","General"&amp;INDEX(问题代码结构!$B$12:$B$20,MATCH($E270,问题代码结构!$C$12:$C$20,0)),D270&amp;F270)</f>
        <v>0610</v>
      </c>
      <c r="B270" s="24" t="str">
        <f t="shared" si="8"/>
        <v>培训会-会议住宿费</v>
      </c>
      <c r="C270" s="8" t="str">
        <f t="shared" si="9"/>
        <v>MN061002</v>
      </c>
      <c r="D270" s="13" t="s">
        <v>300</v>
      </c>
      <c r="E270" s="13" t="s">
        <v>528</v>
      </c>
      <c r="F270" s="13" t="s">
        <v>304</v>
      </c>
      <c r="G270" s="13" t="s">
        <v>440</v>
      </c>
      <c r="H270" s="13" t="s">
        <v>296</v>
      </c>
      <c r="I270" s="13" t="s">
        <v>392</v>
      </c>
      <c r="J270" s="13" t="s">
        <v>393</v>
      </c>
      <c r="K270" s="13" t="s">
        <v>328</v>
      </c>
    </row>
    <row r="271" spans="1:11" ht="28" x14ac:dyDescent="0.3">
      <c r="A271" s="27" t="str">
        <f>IF(F271="00","General"&amp;INDEX(问题代码结构!$B$12:$B$20,MATCH($E271,问题代码结构!$C$12:$C$20,0)),D271&amp;F271)</f>
        <v>0610</v>
      </c>
      <c r="B271" s="24" t="str">
        <f t="shared" si="8"/>
        <v>培训会-会议住宿费</v>
      </c>
      <c r="C271" s="8" t="str">
        <f t="shared" si="9"/>
        <v>MN061003</v>
      </c>
      <c r="D271" s="13" t="s">
        <v>300</v>
      </c>
      <c r="E271" s="13" t="s">
        <v>528</v>
      </c>
      <c r="F271" s="13" t="s">
        <v>304</v>
      </c>
      <c r="G271" s="13" t="s">
        <v>440</v>
      </c>
      <c r="H271" s="13" t="s">
        <v>297</v>
      </c>
      <c r="I271" s="13" t="s">
        <v>394</v>
      </c>
      <c r="J271" s="13" t="s">
        <v>395</v>
      </c>
      <c r="K271" s="13" t="s">
        <v>396</v>
      </c>
    </row>
    <row r="272" spans="1:11" ht="28" x14ac:dyDescent="0.3">
      <c r="A272" s="27" t="str">
        <f>IF(F272="00","General"&amp;INDEX(问题代码结构!$B$12:$B$20,MATCH($E272,问题代码结构!$C$12:$C$20,0)),D272&amp;F272)</f>
        <v>0611</v>
      </c>
      <c r="B272" s="24" t="str">
        <f t="shared" si="8"/>
        <v>培训会-会议杂项开支</v>
      </c>
      <c r="C272" s="8" t="str">
        <f t="shared" si="9"/>
        <v>MN061101</v>
      </c>
      <c r="D272" s="13" t="s">
        <v>300</v>
      </c>
      <c r="E272" s="13" t="s">
        <v>528</v>
      </c>
      <c r="F272" s="13" t="s">
        <v>305</v>
      </c>
      <c r="G272" s="13" t="s">
        <v>441</v>
      </c>
      <c r="H272" s="13" t="s">
        <v>295</v>
      </c>
      <c r="I272" s="13" t="s">
        <v>392</v>
      </c>
      <c r="J272" s="13" t="s">
        <v>393</v>
      </c>
      <c r="K272" s="13" t="s">
        <v>328</v>
      </c>
    </row>
    <row r="273" spans="1:11" ht="28" x14ac:dyDescent="0.3">
      <c r="A273" s="27" t="str">
        <f>IF(F273="00","General"&amp;INDEX(问题代码结构!$B$12:$B$20,MATCH($E273,问题代码结构!$C$12:$C$20,0)),D273&amp;F273)</f>
        <v>0611</v>
      </c>
      <c r="B273" s="24" t="str">
        <f t="shared" si="8"/>
        <v>培训会-会议杂项开支</v>
      </c>
      <c r="C273" s="8" t="str">
        <f t="shared" si="9"/>
        <v>MN061102</v>
      </c>
      <c r="D273" s="13" t="s">
        <v>300</v>
      </c>
      <c r="E273" s="13" t="s">
        <v>528</v>
      </c>
      <c r="F273" s="13" t="s">
        <v>305</v>
      </c>
      <c r="G273" s="13" t="s">
        <v>441</v>
      </c>
      <c r="H273" s="13" t="s">
        <v>296</v>
      </c>
      <c r="I273" s="13" t="s">
        <v>394</v>
      </c>
      <c r="J273" s="13" t="s">
        <v>395</v>
      </c>
      <c r="K273" s="13" t="s">
        <v>396</v>
      </c>
    </row>
    <row r="274" spans="1:11" ht="42" x14ac:dyDescent="0.3">
      <c r="A274" s="27" t="str">
        <f>IF(F274="00","General"&amp;INDEX(问题代码结构!$B$12:$B$20,MATCH($E274,问题代码结构!$C$12:$C$20,0)),D274&amp;F274)</f>
        <v>0702</v>
      </c>
      <c r="B274" s="24" t="str">
        <f t="shared" si="8"/>
        <v>临床研究-临床试验启动会-会议餐费</v>
      </c>
      <c r="C274" s="8" t="str">
        <f t="shared" si="9"/>
        <v>MN070201</v>
      </c>
      <c r="D274" s="13" t="s">
        <v>301</v>
      </c>
      <c r="E274" s="13" t="s">
        <v>541</v>
      </c>
      <c r="F274" s="13" t="s">
        <v>296</v>
      </c>
      <c r="G274" s="13" t="s">
        <v>432</v>
      </c>
      <c r="H274" s="13" t="s">
        <v>295</v>
      </c>
      <c r="I274" s="13" t="s">
        <v>382</v>
      </c>
      <c r="J274" s="13" t="s">
        <v>383</v>
      </c>
      <c r="K274" s="13" t="s">
        <v>328</v>
      </c>
    </row>
    <row r="275" spans="1:11" ht="42" x14ac:dyDescent="0.3">
      <c r="A275" s="27" t="str">
        <f>IF(F275="00","General"&amp;INDEX(问题代码结构!$B$12:$B$20,MATCH($E275,问题代码结构!$C$12:$C$20,0)),D275&amp;F275)</f>
        <v>0702</v>
      </c>
      <c r="B275" s="24" t="str">
        <f t="shared" si="8"/>
        <v>临床研究-临床试验启动会-会议餐费</v>
      </c>
      <c r="C275" s="8" t="str">
        <f t="shared" si="9"/>
        <v>MN070202</v>
      </c>
      <c r="D275" s="13" t="s">
        <v>301</v>
      </c>
      <c r="E275" s="13" t="s">
        <v>541</v>
      </c>
      <c r="F275" s="13" t="s">
        <v>296</v>
      </c>
      <c r="G275" s="13" t="s">
        <v>432</v>
      </c>
      <c r="H275" s="13" t="s">
        <v>296</v>
      </c>
      <c r="I275" s="13" t="s">
        <v>384</v>
      </c>
      <c r="J275" s="13" t="s">
        <v>542</v>
      </c>
      <c r="K275" s="13" t="s">
        <v>386</v>
      </c>
    </row>
    <row r="276" spans="1:11" ht="42" x14ac:dyDescent="0.3">
      <c r="A276" s="27" t="str">
        <f>IF(F276="00","General"&amp;INDEX(问题代码结构!$B$12:$B$20,MATCH($E276,问题代码结构!$C$12:$C$20,0)),D276&amp;F276)</f>
        <v>0702</v>
      </c>
      <c r="B276" s="24" t="str">
        <f t="shared" si="8"/>
        <v>临床研究-临床试验启动会-会议餐费</v>
      </c>
      <c r="C276" s="8" t="str">
        <f t="shared" si="9"/>
        <v>MN070203</v>
      </c>
      <c r="D276" s="13" t="s">
        <v>301</v>
      </c>
      <c r="E276" s="13" t="s">
        <v>541</v>
      </c>
      <c r="F276" s="13" t="s">
        <v>296</v>
      </c>
      <c r="G276" s="13" t="s">
        <v>432</v>
      </c>
      <c r="H276" s="13" t="s">
        <v>297</v>
      </c>
      <c r="I276" s="13" t="s">
        <v>387</v>
      </c>
      <c r="J276" s="13" t="s">
        <v>543</v>
      </c>
      <c r="K276" s="13" t="s">
        <v>328</v>
      </c>
    </row>
    <row r="277" spans="1:11" ht="42" x14ac:dyDescent="0.3">
      <c r="A277" s="27" t="str">
        <f>IF(F277="00","General"&amp;INDEX(问题代码结构!$B$12:$B$20,MATCH($E277,问题代码结构!$C$12:$C$20,0)),D277&amp;F277)</f>
        <v>0702</v>
      </c>
      <c r="B277" s="24" t="str">
        <f t="shared" si="8"/>
        <v>临床研究-临床试验启动会-会议餐费</v>
      </c>
      <c r="C277" s="8" t="str">
        <f t="shared" si="9"/>
        <v>MN070204</v>
      </c>
      <c r="D277" s="13" t="s">
        <v>301</v>
      </c>
      <c r="E277" s="13" t="s">
        <v>541</v>
      </c>
      <c r="F277" s="13" t="s">
        <v>296</v>
      </c>
      <c r="G277" s="13" t="s">
        <v>432</v>
      </c>
      <c r="H277" s="13" t="s">
        <v>298</v>
      </c>
      <c r="I277" s="13" t="s">
        <v>389</v>
      </c>
      <c r="J277" s="13" t="s">
        <v>390</v>
      </c>
      <c r="K277" s="13" t="s">
        <v>391</v>
      </c>
    </row>
    <row r="278" spans="1:11" ht="42" x14ac:dyDescent="0.3">
      <c r="A278" s="27" t="str">
        <f>IF(F278="00","General"&amp;INDEX(问题代码结构!$B$12:$B$20,MATCH($E278,问题代码结构!$C$12:$C$20,0)),D278&amp;F278)</f>
        <v>0702</v>
      </c>
      <c r="B278" s="24" t="str">
        <f t="shared" si="8"/>
        <v>临床研究-临床试验启动会-会议餐费</v>
      </c>
      <c r="C278" s="8" t="str">
        <f t="shared" si="9"/>
        <v>MN070205</v>
      </c>
      <c r="D278" s="13" t="s">
        <v>301</v>
      </c>
      <c r="E278" s="13" t="s">
        <v>541</v>
      </c>
      <c r="F278" s="13" t="s">
        <v>296</v>
      </c>
      <c r="G278" s="13" t="s">
        <v>432</v>
      </c>
      <c r="H278" s="13" t="s">
        <v>299</v>
      </c>
      <c r="I278" s="13" t="s">
        <v>392</v>
      </c>
      <c r="J278" s="13" t="s">
        <v>393</v>
      </c>
      <c r="K278" s="13" t="s">
        <v>328</v>
      </c>
    </row>
    <row r="279" spans="1:11" ht="42" x14ac:dyDescent="0.3">
      <c r="A279" s="27" t="str">
        <f>IF(F279="00","General"&amp;INDEX(问题代码结构!$B$12:$B$20,MATCH($E279,问题代码结构!$C$12:$C$20,0)),D279&amp;F279)</f>
        <v>0702</v>
      </c>
      <c r="B279" s="24" t="str">
        <f t="shared" si="8"/>
        <v>临床研究-临床试验启动会-会议餐费</v>
      </c>
      <c r="C279" s="8" t="str">
        <f t="shared" si="9"/>
        <v>MN070206</v>
      </c>
      <c r="D279" s="13" t="s">
        <v>301</v>
      </c>
      <c r="E279" s="13" t="s">
        <v>541</v>
      </c>
      <c r="F279" s="13" t="s">
        <v>296</v>
      </c>
      <c r="G279" s="13" t="s">
        <v>432</v>
      </c>
      <c r="H279" s="13" t="s">
        <v>300</v>
      </c>
      <c r="I279" s="13" t="s">
        <v>394</v>
      </c>
      <c r="J279" s="13" t="s">
        <v>395</v>
      </c>
      <c r="K279" s="13" t="s">
        <v>396</v>
      </c>
    </row>
    <row r="280" spans="1:11" ht="42" x14ac:dyDescent="0.3">
      <c r="A280" s="27" t="str">
        <f>IF(F280="00","General"&amp;INDEX(问题代码结构!$B$12:$B$20,MATCH($E280,问题代码结构!$C$12:$C$20,0)),D280&amp;F280)</f>
        <v>General07</v>
      </c>
      <c r="B280" s="24" t="str">
        <f t="shared" si="8"/>
        <v>临床研究-临床试验启动会-通用</v>
      </c>
      <c r="C280" s="8" t="str">
        <f t="shared" si="9"/>
        <v>MN070001</v>
      </c>
      <c r="D280" s="13" t="s">
        <v>301</v>
      </c>
      <c r="E280" s="13" t="s">
        <v>541</v>
      </c>
      <c r="F280" s="25" t="s">
        <v>568</v>
      </c>
      <c r="G280" s="26" t="s">
        <v>570</v>
      </c>
      <c r="H280" s="13" t="s">
        <v>295</v>
      </c>
      <c r="I280" s="13" t="s">
        <v>473</v>
      </c>
      <c r="J280" s="13" t="s">
        <v>544</v>
      </c>
      <c r="K280" s="13" t="s">
        <v>326</v>
      </c>
    </row>
    <row r="281" spans="1:11" ht="42" x14ac:dyDescent="0.3">
      <c r="A281" s="27" t="str">
        <f>IF(F281="00","General"&amp;INDEX(问题代码结构!$B$12:$B$20,MATCH($E281,问题代码结构!$C$12:$C$20,0)),D281&amp;F281)</f>
        <v>General07</v>
      </c>
      <c r="B281" s="24" t="str">
        <f t="shared" si="8"/>
        <v>临床研究-临床试验启动会-通用</v>
      </c>
      <c r="C281" s="8" t="str">
        <f t="shared" si="9"/>
        <v>MN070002</v>
      </c>
      <c r="D281" s="13" t="s">
        <v>301</v>
      </c>
      <c r="E281" s="13" t="s">
        <v>541</v>
      </c>
      <c r="F281" s="25" t="s">
        <v>568</v>
      </c>
      <c r="G281" s="26" t="s">
        <v>570</v>
      </c>
      <c r="H281" s="13" t="s">
        <v>296</v>
      </c>
      <c r="I281" s="13" t="s">
        <v>474</v>
      </c>
      <c r="J281" s="13" t="s">
        <v>327</v>
      </c>
      <c r="K281" s="13" t="s">
        <v>328</v>
      </c>
    </row>
    <row r="282" spans="1:11" ht="42" x14ac:dyDescent="0.3">
      <c r="A282" s="27" t="str">
        <f>IF(F282="00","General"&amp;INDEX(问题代码结构!$B$12:$B$20,MATCH($E282,问题代码结构!$C$12:$C$20,0)),D282&amp;F282)</f>
        <v>General07</v>
      </c>
      <c r="B282" s="24" t="str">
        <f t="shared" si="8"/>
        <v>临床研究-临床试验启动会-通用</v>
      </c>
      <c r="C282" s="8" t="str">
        <f t="shared" si="9"/>
        <v>MN070003</v>
      </c>
      <c r="D282" s="13" t="s">
        <v>301</v>
      </c>
      <c r="E282" s="13" t="s">
        <v>541</v>
      </c>
      <c r="F282" s="25" t="s">
        <v>568</v>
      </c>
      <c r="G282" s="26" t="s">
        <v>570</v>
      </c>
      <c r="H282" s="13" t="s">
        <v>297</v>
      </c>
      <c r="I282" s="13" t="s">
        <v>475</v>
      </c>
      <c r="J282" s="13" t="s">
        <v>329</v>
      </c>
      <c r="K282" s="13" t="s">
        <v>330</v>
      </c>
    </row>
    <row r="283" spans="1:11" ht="42" x14ac:dyDescent="0.3">
      <c r="A283" s="27" t="str">
        <f>IF(F283="00","General"&amp;INDEX(问题代码结构!$B$12:$B$20,MATCH($E283,问题代码结构!$C$12:$C$20,0)),D283&amp;F283)</f>
        <v>General07</v>
      </c>
      <c r="B283" s="24" t="str">
        <f t="shared" si="8"/>
        <v>临床研究-临床试验启动会-通用</v>
      </c>
      <c r="C283" s="8" t="str">
        <f t="shared" si="9"/>
        <v>MN070004</v>
      </c>
      <c r="D283" s="13" t="s">
        <v>301</v>
      </c>
      <c r="E283" s="13" t="s">
        <v>541</v>
      </c>
      <c r="F283" s="25" t="s">
        <v>568</v>
      </c>
      <c r="G283" s="26" t="s">
        <v>570</v>
      </c>
      <c r="H283" s="13" t="s">
        <v>298</v>
      </c>
      <c r="I283" s="13" t="s">
        <v>476</v>
      </c>
      <c r="J283" s="13" t="s">
        <v>331</v>
      </c>
      <c r="K283" s="13" t="s">
        <v>332</v>
      </c>
    </row>
    <row r="284" spans="1:11" ht="42" x14ac:dyDescent="0.3">
      <c r="A284" s="27" t="str">
        <f>IF(F284="00","General"&amp;INDEX(问题代码结构!$B$12:$B$20,MATCH($E284,问题代码结构!$C$12:$C$20,0)),D284&amp;F284)</f>
        <v>General07</v>
      </c>
      <c r="B284" s="24" t="str">
        <f t="shared" si="8"/>
        <v>临床研究-临床试验启动会-通用</v>
      </c>
      <c r="C284" s="8" t="str">
        <f t="shared" si="9"/>
        <v>MN070005</v>
      </c>
      <c r="D284" s="13" t="s">
        <v>301</v>
      </c>
      <c r="E284" s="13" t="s">
        <v>541</v>
      </c>
      <c r="F284" s="25" t="s">
        <v>568</v>
      </c>
      <c r="G284" s="26" t="s">
        <v>570</v>
      </c>
      <c r="H284" s="13" t="s">
        <v>299</v>
      </c>
      <c r="I284" s="13" t="s">
        <v>477</v>
      </c>
      <c r="J284" s="13" t="s">
        <v>545</v>
      </c>
      <c r="K284" s="13" t="s">
        <v>334</v>
      </c>
    </row>
    <row r="285" spans="1:11" ht="42" x14ac:dyDescent="0.3">
      <c r="A285" s="27" t="str">
        <f>IF(F285="00","General"&amp;INDEX(问题代码结构!$B$12:$B$20,MATCH($E285,问题代码结构!$C$12:$C$20,0)),D285&amp;F285)</f>
        <v>General07</v>
      </c>
      <c r="B285" s="24" t="str">
        <f t="shared" si="8"/>
        <v>临床研究-临床试验启动会-通用</v>
      </c>
      <c r="C285" s="8" t="str">
        <f t="shared" si="9"/>
        <v>MN070006</v>
      </c>
      <c r="D285" s="13" t="s">
        <v>301</v>
      </c>
      <c r="E285" s="13" t="s">
        <v>541</v>
      </c>
      <c r="F285" s="25" t="s">
        <v>568</v>
      </c>
      <c r="G285" s="26" t="s">
        <v>570</v>
      </c>
      <c r="H285" s="13" t="s">
        <v>300</v>
      </c>
      <c r="I285" s="13" t="s">
        <v>478</v>
      </c>
      <c r="J285" s="13" t="s">
        <v>546</v>
      </c>
      <c r="K285" s="13" t="s">
        <v>328</v>
      </c>
    </row>
    <row r="286" spans="1:11" ht="42" x14ac:dyDescent="0.3">
      <c r="A286" s="27" t="str">
        <f>IF(F286="00","General"&amp;INDEX(问题代码结构!$B$12:$B$20,MATCH($E286,问题代码结构!$C$12:$C$20,0)),D286&amp;F286)</f>
        <v>General07</v>
      </c>
      <c r="B286" s="24" t="str">
        <f t="shared" si="8"/>
        <v>临床研究-临床试验启动会-通用</v>
      </c>
      <c r="C286" s="8" t="str">
        <f t="shared" si="9"/>
        <v>MN070007</v>
      </c>
      <c r="D286" s="13" t="s">
        <v>301</v>
      </c>
      <c r="E286" s="13" t="s">
        <v>541</v>
      </c>
      <c r="F286" s="25" t="s">
        <v>568</v>
      </c>
      <c r="G286" s="26" t="s">
        <v>570</v>
      </c>
      <c r="H286" s="13" t="s">
        <v>301</v>
      </c>
      <c r="I286" s="13" t="s">
        <v>479</v>
      </c>
      <c r="J286" s="13" t="s">
        <v>336</v>
      </c>
      <c r="K286" s="13" t="s">
        <v>337</v>
      </c>
    </row>
    <row r="287" spans="1:11" ht="42" x14ac:dyDescent="0.3">
      <c r="A287" s="27" t="str">
        <f>IF(F287="00","General"&amp;INDEX(问题代码结构!$B$12:$B$20,MATCH($E287,问题代码结构!$C$12:$C$20,0)),D287&amp;F287)</f>
        <v>General07</v>
      </c>
      <c r="B287" s="24" t="str">
        <f t="shared" si="8"/>
        <v>临床研究-临床试验启动会-通用</v>
      </c>
      <c r="C287" s="8" t="str">
        <f t="shared" si="9"/>
        <v>MN070008</v>
      </c>
      <c r="D287" s="13" t="s">
        <v>301</v>
      </c>
      <c r="E287" s="13" t="s">
        <v>541</v>
      </c>
      <c r="F287" s="25" t="s">
        <v>568</v>
      </c>
      <c r="G287" s="26" t="s">
        <v>570</v>
      </c>
      <c r="H287" s="13" t="s">
        <v>302</v>
      </c>
      <c r="I287" s="13" t="s">
        <v>480</v>
      </c>
      <c r="J287" s="13" t="s">
        <v>338</v>
      </c>
      <c r="K287" s="13" t="s">
        <v>337</v>
      </c>
    </row>
    <row r="288" spans="1:11" ht="42" x14ac:dyDescent="0.3">
      <c r="A288" s="27" t="str">
        <f>IF(F288="00","General"&amp;INDEX(问题代码结构!$B$12:$B$20,MATCH($E288,问题代码结构!$C$12:$C$20,0)),D288&amp;F288)</f>
        <v>General07</v>
      </c>
      <c r="B288" s="24" t="str">
        <f t="shared" si="8"/>
        <v>临床研究-临床试验启动会-通用</v>
      </c>
      <c r="C288" s="8" t="str">
        <f t="shared" si="9"/>
        <v>MN070009</v>
      </c>
      <c r="D288" s="13" t="s">
        <v>301</v>
      </c>
      <c r="E288" s="13" t="s">
        <v>541</v>
      </c>
      <c r="F288" s="25" t="s">
        <v>568</v>
      </c>
      <c r="G288" s="26" t="s">
        <v>570</v>
      </c>
      <c r="H288" s="13" t="s">
        <v>303</v>
      </c>
      <c r="I288" s="13" t="s">
        <v>481</v>
      </c>
      <c r="J288" s="13" t="s">
        <v>339</v>
      </c>
      <c r="K288" s="13" t="s">
        <v>340</v>
      </c>
    </row>
    <row r="289" spans="1:11" ht="42" x14ac:dyDescent="0.3">
      <c r="A289" s="27" t="str">
        <f>IF(F289="00","General"&amp;INDEX(问题代码结构!$B$12:$B$20,MATCH($E289,问题代码结构!$C$12:$C$20,0)),D289&amp;F289)</f>
        <v>General07</v>
      </c>
      <c r="B289" s="24" t="str">
        <f t="shared" si="8"/>
        <v>临床研究-临床试验启动会-通用</v>
      </c>
      <c r="C289" s="8" t="str">
        <f t="shared" si="9"/>
        <v>MN070010</v>
      </c>
      <c r="D289" s="13" t="s">
        <v>301</v>
      </c>
      <c r="E289" s="13" t="s">
        <v>541</v>
      </c>
      <c r="F289" s="25" t="s">
        <v>568</v>
      </c>
      <c r="G289" s="26" t="s">
        <v>570</v>
      </c>
      <c r="H289" s="13" t="s">
        <v>304</v>
      </c>
      <c r="I289" s="13" t="s">
        <v>482</v>
      </c>
      <c r="J289" s="13" t="s">
        <v>341</v>
      </c>
      <c r="K289" s="13" t="s">
        <v>328</v>
      </c>
    </row>
    <row r="290" spans="1:11" ht="42" x14ac:dyDescent="0.3">
      <c r="A290" s="27" t="str">
        <f>IF(F290="00","General"&amp;INDEX(问题代码结构!$B$12:$B$20,MATCH($E290,问题代码结构!$C$12:$C$20,0)),D290&amp;F290)</f>
        <v>General07</v>
      </c>
      <c r="B290" s="24" t="str">
        <f t="shared" si="8"/>
        <v>临床研究-临床试验启动会-通用</v>
      </c>
      <c r="C290" s="8" t="str">
        <f t="shared" si="9"/>
        <v>MN070011</v>
      </c>
      <c r="D290" s="13" t="s">
        <v>301</v>
      </c>
      <c r="E290" s="13" t="s">
        <v>541</v>
      </c>
      <c r="F290" s="25" t="s">
        <v>568</v>
      </c>
      <c r="G290" s="26" t="s">
        <v>570</v>
      </c>
      <c r="H290" s="13" t="s">
        <v>305</v>
      </c>
      <c r="I290" s="13" t="s">
        <v>483</v>
      </c>
      <c r="J290" s="13" t="s">
        <v>342</v>
      </c>
      <c r="K290" s="13" t="s">
        <v>547</v>
      </c>
    </row>
    <row r="291" spans="1:11" ht="42" x14ac:dyDescent="0.3">
      <c r="A291" s="27" t="str">
        <f>IF(F291="00","General"&amp;INDEX(问题代码结构!$B$12:$B$20,MATCH($E291,问题代码结构!$C$12:$C$20,0)),D291&amp;F291)</f>
        <v>General07</v>
      </c>
      <c r="B291" s="24" t="str">
        <f t="shared" si="8"/>
        <v>临床研究-临床试验启动会-通用</v>
      </c>
      <c r="C291" s="8" t="str">
        <f t="shared" si="9"/>
        <v>MN070012</v>
      </c>
      <c r="D291" s="13" t="s">
        <v>301</v>
      </c>
      <c r="E291" s="13" t="s">
        <v>541</v>
      </c>
      <c r="F291" s="25" t="s">
        <v>568</v>
      </c>
      <c r="G291" s="26" t="s">
        <v>570</v>
      </c>
      <c r="H291" s="13" t="s">
        <v>306</v>
      </c>
      <c r="I291" s="13" t="s">
        <v>484</v>
      </c>
      <c r="J291" s="13" t="s">
        <v>344</v>
      </c>
      <c r="K291" s="13" t="s">
        <v>345</v>
      </c>
    </row>
    <row r="292" spans="1:11" ht="42" x14ac:dyDescent="0.3">
      <c r="A292" s="27" t="str">
        <f>IF(F292="00","General"&amp;INDEX(问题代码结构!$B$12:$B$20,MATCH($E292,问题代码结构!$C$12:$C$20,0)),D292&amp;F292)</f>
        <v>General07</v>
      </c>
      <c r="B292" s="24" t="str">
        <f t="shared" si="8"/>
        <v>临床研究-临床试验启动会-通用</v>
      </c>
      <c r="C292" s="8" t="str">
        <f t="shared" si="9"/>
        <v>MN070013</v>
      </c>
      <c r="D292" s="13" t="s">
        <v>301</v>
      </c>
      <c r="E292" s="13" t="s">
        <v>541</v>
      </c>
      <c r="F292" s="25" t="s">
        <v>568</v>
      </c>
      <c r="G292" s="26" t="s">
        <v>570</v>
      </c>
      <c r="H292" s="13" t="s">
        <v>307</v>
      </c>
      <c r="I292" s="13" t="s">
        <v>490</v>
      </c>
      <c r="J292" s="13" t="s">
        <v>548</v>
      </c>
      <c r="K292" s="13" t="s">
        <v>353</v>
      </c>
    </row>
    <row r="293" spans="1:11" ht="42" x14ac:dyDescent="0.3">
      <c r="A293" s="27" t="str">
        <f>IF(F293="00","General"&amp;INDEX(问题代码结构!$B$12:$B$20,MATCH($E293,问题代码结构!$C$12:$C$20,0)),D293&amp;F293)</f>
        <v>General07</v>
      </c>
      <c r="B293" s="24" t="str">
        <f t="shared" si="8"/>
        <v>临床研究-临床试验启动会-通用</v>
      </c>
      <c r="C293" s="8" t="str">
        <f t="shared" si="9"/>
        <v>MN070014</v>
      </c>
      <c r="D293" s="13" t="s">
        <v>301</v>
      </c>
      <c r="E293" s="13" t="s">
        <v>541</v>
      </c>
      <c r="F293" s="25" t="s">
        <v>568</v>
      </c>
      <c r="G293" s="26" t="s">
        <v>570</v>
      </c>
      <c r="H293" s="13" t="s">
        <v>308</v>
      </c>
      <c r="I293" s="13" t="s">
        <v>491</v>
      </c>
      <c r="J293" s="13" t="s">
        <v>549</v>
      </c>
      <c r="K293" s="13" t="s">
        <v>550</v>
      </c>
    </row>
    <row r="294" spans="1:11" ht="42" x14ac:dyDescent="0.3">
      <c r="A294" s="27" t="str">
        <f>IF(F294="00","General"&amp;INDEX(问题代码结构!$B$12:$B$20,MATCH($E294,问题代码结构!$C$12:$C$20,0)),D294&amp;F294)</f>
        <v>General07</v>
      </c>
      <c r="B294" s="24" t="str">
        <f t="shared" si="8"/>
        <v>临床研究-临床试验启动会-通用</v>
      </c>
      <c r="C294" s="8" t="str">
        <f t="shared" si="9"/>
        <v>MN070015</v>
      </c>
      <c r="D294" s="13" t="s">
        <v>301</v>
      </c>
      <c r="E294" s="13" t="s">
        <v>541</v>
      </c>
      <c r="F294" s="25" t="s">
        <v>568</v>
      </c>
      <c r="G294" s="26" t="s">
        <v>570</v>
      </c>
      <c r="H294" s="13" t="s">
        <v>309</v>
      </c>
      <c r="I294" s="13" t="s">
        <v>492</v>
      </c>
      <c r="J294" s="13" t="s">
        <v>356</v>
      </c>
      <c r="K294" s="13" t="s">
        <v>357</v>
      </c>
    </row>
    <row r="295" spans="1:11" ht="42" x14ac:dyDescent="0.3">
      <c r="A295" s="27" t="str">
        <f>IF(F295="00","General"&amp;INDEX(问题代码结构!$B$12:$B$20,MATCH($E295,问题代码结构!$C$12:$C$20,0)),D295&amp;F295)</f>
        <v>General07</v>
      </c>
      <c r="B295" s="24" t="str">
        <f t="shared" si="8"/>
        <v>临床研究-临床试验启动会-通用</v>
      </c>
      <c r="C295" s="8" t="str">
        <f t="shared" si="9"/>
        <v>MN070016</v>
      </c>
      <c r="D295" s="13" t="s">
        <v>301</v>
      </c>
      <c r="E295" s="13" t="s">
        <v>541</v>
      </c>
      <c r="F295" s="25" t="s">
        <v>568</v>
      </c>
      <c r="G295" s="26" t="s">
        <v>570</v>
      </c>
      <c r="H295" s="13" t="s">
        <v>310</v>
      </c>
      <c r="I295" s="13" t="s">
        <v>493</v>
      </c>
      <c r="J295" s="13" t="s">
        <v>551</v>
      </c>
      <c r="K295" s="13" t="s">
        <v>359</v>
      </c>
    </row>
    <row r="296" spans="1:11" ht="42" x14ac:dyDescent="0.3">
      <c r="A296" s="27" t="str">
        <f>IF(F296="00","General"&amp;INDEX(问题代码结构!$B$12:$B$20,MATCH($E296,问题代码结构!$C$12:$C$20,0)),D296&amp;F296)</f>
        <v>0706</v>
      </c>
      <c r="B296" s="24" t="str">
        <f t="shared" si="8"/>
        <v>临床研究-临床试验启动会-会议茶歇</v>
      </c>
      <c r="C296" s="8" t="str">
        <f t="shared" si="9"/>
        <v>MN070601</v>
      </c>
      <c r="D296" s="13" t="s">
        <v>301</v>
      </c>
      <c r="E296" s="13" t="s">
        <v>541</v>
      </c>
      <c r="F296" s="13" t="s">
        <v>300</v>
      </c>
      <c r="G296" s="13" t="s">
        <v>436</v>
      </c>
      <c r="H296" s="13" t="s">
        <v>295</v>
      </c>
      <c r="I296" s="13" t="s">
        <v>403</v>
      </c>
      <c r="J296" s="13" t="s">
        <v>404</v>
      </c>
      <c r="K296" s="13" t="s">
        <v>386</v>
      </c>
    </row>
    <row r="297" spans="1:11" ht="42" x14ac:dyDescent="0.3">
      <c r="A297" s="27" t="str">
        <f>IF(F297="00","General"&amp;INDEX(问题代码结构!$B$12:$B$20,MATCH($E297,问题代码结构!$C$12:$C$20,0)),D297&amp;F297)</f>
        <v>0706</v>
      </c>
      <c r="B297" s="24" t="str">
        <f t="shared" si="8"/>
        <v>临床研究-临床试验启动会-会议茶歇</v>
      </c>
      <c r="C297" s="8" t="str">
        <f t="shared" si="9"/>
        <v>MN070602</v>
      </c>
      <c r="D297" s="13" t="s">
        <v>301</v>
      </c>
      <c r="E297" s="13" t="s">
        <v>541</v>
      </c>
      <c r="F297" s="13" t="s">
        <v>300</v>
      </c>
      <c r="G297" s="13" t="s">
        <v>436</v>
      </c>
      <c r="H297" s="13" t="s">
        <v>296</v>
      </c>
      <c r="I297" s="13" t="s">
        <v>405</v>
      </c>
      <c r="J297" s="13" t="s">
        <v>406</v>
      </c>
      <c r="K297" s="13" t="s">
        <v>328</v>
      </c>
    </row>
    <row r="298" spans="1:11" ht="42" x14ac:dyDescent="0.3">
      <c r="A298" s="27" t="str">
        <f>IF(F298="00","General"&amp;INDEX(问题代码结构!$B$12:$B$20,MATCH($E298,问题代码结构!$C$12:$C$20,0)),D298&amp;F298)</f>
        <v>0706</v>
      </c>
      <c r="B298" s="24" t="str">
        <f t="shared" si="8"/>
        <v>临床研究-临床试验启动会-会议茶歇</v>
      </c>
      <c r="C298" s="8" t="str">
        <f t="shared" si="9"/>
        <v>MN070603</v>
      </c>
      <c r="D298" s="13" t="s">
        <v>301</v>
      </c>
      <c r="E298" s="13" t="s">
        <v>541</v>
      </c>
      <c r="F298" s="13" t="s">
        <v>300</v>
      </c>
      <c r="G298" s="13" t="s">
        <v>436</v>
      </c>
      <c r="H298" s="13" t="s">
        <v>297</v>
      </c>
      <c r="I298" s="13" t="s">
        <v>392</v>
      </c>
      <c r="J298" s="13" t="s">
        <v>393</v>
      </c>
      <c r="K298" s="13" t="s">
        <v>328</v>
      </c>
    </row>
    <row r="299" spans="1:11" ht="42" x14ac:dyDescent="0.3">
      <c r="A299" s="27" t="str">
        <f>IF(F299="00","General"&amp;INDEX(问题代码结构!$B$12:$B$20,MATCH($E299,问题代码结构!$C$12:$C$20,0)),D299&amp;F299)</f>
        <v>0706</v>
      </c>
      <c r="B299" s="24" t="str">
        <f t="shared" si="8"/>
        <v>临床研究-临床试验启动会-会议茶歇</v>
      </c>
      <c r="C299" s="8" t="str">
        <f t="shared" si="9"/>
        <v>MN070604</v>
      </c>
      <c r="D299" s="13" t="s">
        <v>301</v>
      </c>
      <c r="E299" s="13" t="s">
        <v>541</v>
      </c>
      <c r="F299" s="13" t="s">
        <v>300</v>
      </c>
      <c r="G299" s="13" t="s">
        <v>436</v>
      </c>
      <c r="H299" s="13" t="s">
        <v>298</v>
      </c>
      <c r="I299" s="13" t="s">
        <v>394</v>
      </c>
      <c r="J299" s="13" t="s">
        <v>395</v>
      </c>
      <c r="K299" s="13" t="s">
        <v>396</v>
      </c>
    </row>
    <row r="300" spans="1:11" ht="42" x14ac:dyDescent="0.3">
      <c r="A300" s="27" t="str">
        <f>IF(F300="00","General"&amp;INDEX(问题代码结构!$B$12:$B$20,MATCH($E300,问题代码结构!$C$12:$C$20,0)),D300&amp;F300)</f>
        <v>0709</v>
      </c>
      <c r="B300" s="24" t="str">
        <f t="shared" si="8"/>
        <v>临床研究-临床试验启动会-会议推广材料制作</v>
      </c>
      <c r="C300" s="8" t="str">
        <f t="shared" si="9"/>
        <v>MN070901</v>
      </c>
      <c r="D300" s="13" t="s">
        <v>301</v>
      </c>
      <c r="E300" s="13" t="s">
        <v>541</v>
      </c>
      <c r="F300" s="13" t="s">
        <v>303</v>
      </c>
      <c r="G300" s="13" t="s">
        <v>439</v>
      </c>
      <c r="H300" s="13" t="s">
        <v>295</v>
      </c>
      <c r="I300" s="13" t="s">
        <v>392</v>
      </c>
      <c r="J300" s="13" t="s">
        <v>393</v>
      </c>
      <c r="K300" s="13" t="s">
        <v>328</v>
      </c>
    </row>
    <row r="301" spans="1:11" ht="42" x14ac:dyDescent="0.3">
      <c r="A301" s="27" t="str">
        <f>IF(F301="00","General"&amp;INDEX(问题代码结构!$B$12:$B$20,MATCH($E301,问题代码结构!$C$12:$C$20,0)),D301&amp;F301)</f>
        <v>0709</v>
      </c>
      <c r="B301" s="24" t="str">
        <f t="shared" si="8"/>
        <v>临床研究-临床试验启动会-会议推广材料制作</v>
      </c>
      <c r="C301" s="8" t="str">
        <f t="shared" si="9"/>
        <v>MN070902</v>
      </c>
      <c r="D301" s="13" t="s">
        <v>301</v>
      </c>
      <c r="E301" s="13" t="s">
        <v>541</v>
      </c>
      <c r="F301" s="13" t="s">
        <v>303</v>
      </c>
      <c r="G301" s="13" t="s">
        <v>439</v>
      </c>
      <c r="H301" s="13" t="s">
        <v>296</v>
      </c>
      <c r="I301" s="13" t="s">
        <v>394</v>
      </c>
      <c r="J301" s="13" t="s">
        <v>395</v>
      </c>
      <c r="K301" s="13" t="s">
        <v>396</v>
      </c>
    </row>
    <row r="302" spans="1:11" ht="42" x14ac:dyDescent="0.3">
      <c r="A302" s="27" t="str">
        <f>IF(F302="00","General"&amp;INDEX(问题代码结构!$B$12:$B$20,MATCH($E302,问题代码结构!$C$12:$C$20,0)),D302&amp;F302)</f>
        <v>0711</v>
      </c>
      <c r="B302" s="24" t="str">
        <f t="shared" si="8"/>
        <v>临床研究-临床试验启动会-会议杂项开支</v>
      </c>
      <c r="C302" s="8" t="str">
        <f t="shared" si="9"/>
        <v>MN071101</v>
      </c>
      <c r="D302" s="13" t="s">
        <v>301</v>
      </c>
      <c r="E302" s="13" t="s">
        <v>541</v>
      </c>
      <c r="F302" s="13" t="s">
        <v>305</v>
      </c>
      <c r="G302" s="13" t="s">
        <v>441</v>
      </c>
      <c r="H302" s="13" t="s">
        <v>295</v>
      </c>
      <c r="I302" s="13" t="s">
        <v>392</v>
      </c>
      <c r="J302" s="13" t="s">
        <v>393</v>
      </c>
      <c r="K302" s="13" t="s">
        <v>328</v>
      </c>
    </row>
    <row r="303" spans="1:11" ht="42" x14ac:dyDescent="0.3">
      <c r="A303" s="27" t="str">
        <f>IF(F303="00","General"&amp;INDEX(问题代码结构!$B$12:$B$20,MATCH($E303,问题代码结构!$C$12:$C$20,0)),D303&amp;F303)</f>
        <v>0711</v>
      </c>
      <c r="B303" s="24" t="str">
        <f t="shared" si="8"/>
        <v>临床研究-临床试验启动会-会议杂项开支</v>
      </c>
      <c r="C303" s="8" t="str">
        <f t="shared" si="9"/>
        <v>MN071102</v>
      </c>
      <c r="D303" s="13" t="s">
        <v>301</v>
      </c>
      <c r="E303" s="13" t="s">
        <v>541</v>
      </c>
      <c r="F303" s="13" t="s">
        <v>305</v>
      </c>
      <c r="G303" s="13" t="s">
        <v>441</v>
      </c>
      <c r="H303" s="13" t="s">
        <v>296</v>
      </c>
      <c r="I303" s="13" t="s">
        <v>394</v>
      </c>
      <c r="J303" s="13" t="s">
        <v>395</v>
      </c>
      <c r="K303" s="13" t="s">
        <v>396</v>
      </c>
    </row>
    <row r="304" spans="1:11" ht="28" x14ac:dyDescent="0.3">
      <c r="A304" s="27" t="str">
        <f>IF(F304="00","General"&amp;INDEX(问题代码结构!$B$12:$B$20,MATCH($E304,问题代码结构!$C$12:$C$20,0)),D304&amp;F304)</f>
        <v>0812</v>
      </c>
      <c r="B304" s="24" t="str">
        <f t="shared" si="8"/>
        <v>专家咨询会-专家咨询费</v>
      </c>
      <c r="C304" s="8" t="str">
        <f t="shared" si="9"/>
        <v>MN081201</v>
      </c>
      <c r="D304" s="13" t="s">
        <v>302</v>
      </c>
      <c r="E304" s="13" t="s">
        <v>552</v>
      </c>
      <c r="F304" s="13" t="s">
        <v>306</v>
      </c>
      <c r="G304" s="13" t="s">
        <v>553</v>
      </c>
      <c r="H304" s="13" t="s">
        <v>295</v>
      </c>
      <c r="I304" s="13" t="s">
        <v>360</v>
      </c>
      <c r="J304" s="13" t="s">
        <v>554</v>
      </c>
      <c r="K304" s="13" t="s">
        <v>362</v>
      </c>
    </row>
    <row r="305" spans="1:11" ht="28" x14ac:dyDescent="0.3">
      <c r="A305" s="27" t="str">
        <f>IF(F305="00","General"&amp;INDEX(问题代码结构!$B$12:$B$20,MATCH($E305,问题代码结构!$C$12:$C$20,0)),D305&amp;F305)</f>
        <v>0812</v>
      </c>
      <c r="B305" s="24" t="str">
        <f t="shared" si="8"/>
        <v>专家咨询会-专家咨询费</v>
      </c>
      <c r="C305" s="8" t="str">
        <f t="shared" si="9"/>
        <v>MN081202</v>
      </c>
      <c r="D305" s="13" t="s">
        <v>302</v>
      </c>
      <c r="E305" s="13" t="s">
        <v>552</v>
      </c>
      <c r="F305" s="13" t="s">
        <v>306</v>
      </c>
      <c r="G305" s="13" t="s">
        <v>553</v>
      </c>
      <c r="H305" s="13" t="s">
        <v>296</v>
      </c>
      <c r="I305" s="13" t="s">
        <v>363</v>
      </c>
      <c r="J305" s="13" t="s">
        <v>555</v>
      </c>
      <c r="K305" s="13" t="s">
        <v>328</v>
      </c>
    </row>
    <row r="306" spans="1:11" ht="28" x14ac:dyDescent="0.3">
      <c r="A306" s="27" t="str">
        <f>IF(F306="00","General"&amp;INDEX(问题代码结构!$B$12:$B$20,MATCH($E306,问题代码结构!$C$12:$C$20,0)),D306&amp;F306)</f>
        <v>0812</v>
      </c>
      <c r="B306" s="24" t="str">
        <f t="shared" si="8"/>
        <v>专家咨询会-专家咨询费</v>
      </c>
      <c r="C306" s="8" t="str">
        <f t="shared" si="9"/>
        <v>MN081203</v>
      </c>
      <c r="D306" s="13" t="s">
        <v>302</v>
      </c>
      <c r="E306" s="13" t="s">
        <v>552</v>
      </c>
      <c r="F306" s="13" t="s">
        <v>306</v>
      </c>
      <c r="G306" s="13" t="s">
        <v>553</v>
      </c>
      <c r="H306" s="13" t="s">
        <v>297</v>
      </c>
      <c r="I306" s="13" t="s">
        <v>365</v>
      </c>
      <c r="J306" s="13" t="s">
        <v>556</v>
      </c>
      <c r="K306" s="13" t="s">
        <v>367</v>
      </c>
    </row>
    <row r="307" spans="1:11" ht="28" x14ac:dyDescent="0.3">
      <c r="A307" s="27" t="str">
        <f>IF(F307="00","General"&amp;INDEX(问题代码结构!$B$12:$B$20,MATCH($E307,问题代码结构!$C$12:$C$20,0)),D307&amp;F307)</f>
        <v>0812</v>
      </c>
      <c r="B307" s="24" t="str">
        <f t="shared" si="8"/>
        <v>专家咨询会-专家咨询费</v>
      </c>
      <c r="C307" s="8" t="str">
        <f t="shared" si="9"/>
        <v>MN081206</v>
      </c>
      <c r="D307" s="13" t="s">
        <v>302</v>
      </c>
      <c r="E307" s="13" t="s">
        <v>552</v>
      </c>
      <c r="F307" s="13" t="s">
        <v>306</v>
      </c>
      <c r="G307" s="13" t="s">
        <v>553</v>
      </c>
      <c r="H307" s="13" t="s">
        <v>300</v>
      </c>
      <c r="I307" s="13" t="s">
        <v>373</v>
      </c>
      <c r="J307" s="13" t="s">
        <v>557</v>
      </c>
      <c r="K307" s="13" t="s">
        <v>362</v>
      </c>
    </row>
    <row r="308" spans="1:11" ht="28" x14ac:dyDescent="0.3">
      <c r="A308" s="27" t="str">
        <f>IF(F308="00","General"&amp;INDEX(问题代码结构!$B$12:$B$20,MATCH($E308,问题代码结构!$C$12:$C$20,0)),D308&amp;F308)</f>
        <v>0812</v>
      </c>
      <c r="B308" s="24" t="str">
        <f t="shared" si="8"/>
        <v>专家咨询会-专家咨询费</v>
      </c>
      <c r="C308" s="8" t="str">
        <f t="shared" si="9"/>
        <v>MN081210</v>
      </c>
      <c r="D308" s="13" t="s">
        <v>302</v>
      </c>
      <c r="E308" s="13" t="s">
        <v>552</v>
      </c>
      <c r="F308" s="13" t="s">
        <v>306</v>
      </c>
      <c r="G308" s="13" t="s">
        <v>553</v>
      </c>
      <c r="H308" s="13" t="s">
        <v>304</v>
      </c>
      <c r="I308" s="13" t="s">
        <v>558</v>
      </c>
      <c r="J308" s="13" t="s">
        <v>559</v>
      </c>
      <c r="K308" s="13" t="s">
        <v>328</v>
      </c>
    </row>
    <row r="309" spans="1:11" ht="42" x14ac:dyDescent="0.3">
      <c r="A309" s="27" t="str">
        <f>IF(F309="00","General"&amp;INDEX(问题代码结构!$B$12:$B$20,MATCH($E309,问题代码结构!$C$12:$C$20,0)),D309&amp;F309)</f>
        <v>General08</v>
      </c>
      <c r="B309" s="24" t="str">
        <f t="shared" si="8"/>
        <v>专家咨询会-通用</v>
      </c>
      <c r="C309" s="8" t="str">
        <f t="shared" si="9"/>
        <v>MN080001</v>
      </c>
      <c r="D309" s="13" t="s">
        <v>302</v>
      </c>
      <c r="E309" s="13" t="s">
        <v>552</v>
      </c>
      <c r="F309" s="25" t="s">
        <v>568</v>
      </c>
      <c r="G309" s="26" t="s">
        <v>570</v>
      </c>
      <c r="H309" s="13" t="s">
        <v>295</v>
      </c>
      <c r="I309" s="13" t="s">
        <v>473</v>
      </c>
      <c r="J309" s="13" t="s">
        <v>560</v>
      </c>
      <c r="K309" s="13" t="s">
        <v>326</v>
      </c>
    </row>
    <row r="310" spans="1:11" ht="28" x14ac:dyDescent="0.3">
      <c r="A310" s="27" t="str">
        <f>IF(F310="00","General"&amp;INDEX(问题代码结构!$B$12:$B$20,MATCH($E310,问题代码结构!$C$12:$C$20,0)),D310&amp;F310)</f>
        <v>General08</v>
      </c>
      <c r="B310" s="24" t="str">
        <f t="shared" si="8"/>
        <v>专家咨询会-通用</v>
      </c>
      <c r="C310" s="8" t="str">
        <f t="shared" si="9"/>
        <v>MN080002</v>
      </c>
      <c r="D310" s="13" t="s">
        <v>302</v>
      </c>
      <c r="E310" s="13" t="s">
        <v>552</v>
      </c>
      <c r="F310" s="25" t="s">
        <v>568</v>
      </c>
      <c r="G310" s="26" t="s">
        <v>570</v>
      </c>
      <c r="H310" s="13" t="s">
        <v>296</v>
      </c>
      <c r="I310" s="13" t="s">
        <v>474</v>
      </c>
      <c r="J310" s="13" t="s">
        <v>327</v>
      </c>
      <c r="K310" s="13" t="s">
        <v>328</v>
      </c>
    </row>
    <row r="311" spans="1:11" ht="28" x14ac:dyDescent="0.3">
      <c r="A311" s="27" t="str">
        <f>IF(F311="00","General"&amp;INDEX(问题代码结构!$B$12:$B$20,MATCH($E311,问题代码结构!$C$12:$C$20,0)),D311&amp;F311)</f>
        <v>General08</v>
      </c>
      <c r="B311" s="24" t="str">
        <f t="shared" si="8"/>
        <v>专家咨询会-通用</v>
      </c>
      <c r="C311" s="8" t="str">
        <f t="shared" si="9"/>
        <v>MN080003</v>
      </c>
      <c r="D311" s="13" t="s">
        <v>302</v>
      </c>
      <c r="E311" s="13" t="s">
        <v>552</v>
      </c>
      <c r="F311" s="25" t="s">
        <v>568</v>
      </c>
      <c r="G311" s="26" t="s">
        <v>570</v>
      </c>
      <c r="H311" s="13" t="s">
        <v>297</v>
      </c>
      <c r="I311" s="13" t="s">
        <v>475</v>
      </c>
      <c r="J311" s="13" t="s">
        <v>329</v>
      </c>
      <c r="K311" s="13" t="s">
        <v>330</v>
      </c>
    </row>
    <row r="312" spans="1:11" ht="28" x14ac:dyDescent="0.3">
      <c r="A312" s="27" t="str">
        <f>IF(F312="00","General"&amp;INDEX(问题代码结构!$B$12:$B$20,MATCH($E312,问题代码结构!$C$12:$C$20,0)),D312&amp;F312)</f>
        <v>General08</v>
      </c>
      <c r="B312" s="24" t="str">
        <f t="shared" si="8"/>
        <v>专家咨询会-通用</v>
      </c>
      <c r="C312" s="8" t="str">
        <f t="shared" si="9"/>
        <v>MN080004</v>
      </c>
      <c r="D312" s="13" t="s">
        <v>302</v>
      </c>
      <c r="E312" s="13" t="s">
        <v>552</v>
      </c>
      <c r="F312" s="25" t="s">
        <v>568</v>
      </c>
      <c r="G312" s="26" t="s">
        <v>570</v>
      </c>
      <c r="H312" s="13" t="s">
        <v>298</v>
      </c>
      <c r="I312" s="13" t="s">
        <v>476</v>
      </c>
      <c r="J312" s="13" t="s">
        <v>331</v>
      </c>
      <c r="K312" s="13" t="s">
        <v>332</v>
      </c>
    </row>
    <row r="313" spans="1:11" ht="28" x14ac:dyDescent="0.3">
      <c r="A313" s="27" t="str">
        <f>IF(F313="00","General"&amp;INDEX(问题代码结构!$B$12:$B$20,MATCH($E313,问题代码结构!$C$12:$C$20,0)),D313&amp;F313)</f>
        <v>General08</v>
      </c>
      <c r="B313" s="24" t="str">
        <f t="shared" si="8"/>
        <v>专家咨询会-通用</v>
      </c>
      <c r="C313" s="8" t="str">
        <f t="shared" si="9"/>
        <v>MN080005</v>
      </c>
      <c r="D313" s="13" t="s">
        <v>302</v>
      </c>
      <c r="E313" s="13" t="s">
        <v>552</v>
      </c>
      <c r="F313" s="25" t="s">
        <v>568</v>
      </c>
      <c r="G313" s="26" t="s">
        <v>570</v>
      </c>
      <c r="H313" s="13" t="s">
        <v>299</v>
      </c>
      <c r="I313" s="13" t="s">
        <v>477</v>
      </c>
      <c r="J313" s="13" t="s">
        <v>561</v>
      </c>
      <c r="K313" s="13" t="s">
        <v>334</v>
      </c>
    </row>
    <row r="314" spans="1:11" ht="28" x14ac:dyDescent="0.3">
      <c r="A314" s="27" t="str">
        <f>IF(F314="00","General"&amp;INDEX(问题代码结构!$B$12:$B$20,MATCH($E314,问题代码结构!$C$12:$C$20,0)),D314&amp;F314)</f>
        <v>General08</v>
      </c>
      <c r="B314" s="24" t="str">
        <f t="shared" si="8"/>
        <v>专家咨询会-通用</v>
      </c>
      <c r="C314" s="8" t="str">
        <f t="shared" si="9"/>
        <v>MN080006</v>
      </c>
      <c r="D314" s="13" t="s">
        <v>302</v>
      </c>
      <c r="E314" s="13" t="s">
        <v>552</v>
      </c>
      <c r="F314" s="25" t="s">
        <v>568</v>
      </c>
      <c r="G314" s="26" t="s">
        <v>570</v>
      </c>
      <c r="H314" s="13" t="s">
        <v>300</v>
      </c>
      <c r="I314" s="13" t="s">
        <v>478</v>
      </c>
      <c r="J314" s="13" t="s">
        <v>546</v>
      </c>
      <c r="K314" s="13" t="s">
        <v>328</v>
      </c>
    </row>
    <row r="315" spans="1:11" ht="28" x14ac:dyDescent="0.3">
      <c r="A315" s="27" t="str">
        <f>IF(F315="00","General"&amp;INDEX(问题代码结构!$B$12:$B$20,MATCH($E315,问题代码结构!$C$12:$C$20,0)),D315&amp;F315)</f>
        <v>General08</v>
      </c>
      <c r="B315" s="24" t="str">
        <f t="shared" si="8"/>
        <v>专家咨询会-通用</v>
      </c>
      <c r="C315" s="8" t="str">
        <f t="shared" si="9"/>
        <v>MN080007</v>
      </c>
      <c r="D315" s="13" t="s">
        <v>302</v>
      </c>
      <c r="E315" s="13" t="s">
        <v>552</v>
      </c>
      <c r="F315" s="25" t="s">
        <v>568</v>
      </c>
      <c r="G315" s="26" t="s">
        <v>570</v>
      </c>
      <c r="H315" s="13" t="s">
        <v>301</v>
      </c>
      <c r="I315" s="13" t="s">
        <v>479</v>
      </c>
      <c r="J315" s="13" t="s">
        <v>336</v>
      </c>
      <c r="K315" s="13" t="s">
        <v>337</v>
      </c>
    </row>
    <row r="316" spans="1:11" ht="42" x14ac:dyDescent="0.3">
      <c r="A316" s="27" t="str">
        <f>IF(F316="00","General"&amp;INDEX(问题代码结构!$B$12:$B$20,MATCH($E316,问题代码结构!$C$12:$C$20,0)),D316&amp;F316)</f>
        <v>General08</v>
      </c>
      <c r="B316" s="24" t="str">
        <f t="shared" si="8"/>
        <v>专家咨询会-通用</v>
      </c>
      <c r="C316" s="8" t="str">
        <f t="shared" si="9"/>
        <v>MN080008</v>
      </c>
      <c r="D316" s="13" t="s">
        <v>302</v>
      </c>
      <c r="E316" s="13" t="s">
        <v>552</v>
      </c>
      <c r="F316" s="25" t="s">
        <v>568</v>
      </c>
      <c r="G316" s="26" t="s">
        <v>570</v>
      </c>
      <c r="H316" s="13" t="s">
        <v>302</v>
      </c>
      <c r="I316" s="13" t="s">
        <v>480</v>
      </c>
      <c r="J316" s="13" t="s">
        <v>338</v>
      </c>
      <c r="K316" s="13" t="s">
        <v>337</v>
      </c>
    </row>
    <row r="317" spans="1:11" ht="28" x14ac:dyDescent="0.3">
      <c r="A317" s="27" t="str">
        <f>IF(F317="00","General"&amp;INDEX(问题代码结构!$B$12:$B$20,MATCH($E317,问题代码结构!$C$12:$C$20,0)),D317&amp;F317)</f>
        <v>General08</v>
      </c>
      <c r="B317" s="24" t="str">
        <f t="shared" si="8"/>
        <v>专家咨询会-通用</v>
      </c>
      <c r="C317" s="8" t="str">
        <f t="shared" si="9"/>
        <v>MN080009</v>
      </c>
      <c r="D317" s="13" t="s">
        <v>302</v>
      </c>
      <c r="E317" s="13" t="s">
        <v>552</v>
      </c>
      <c r="F317" s="25" t="s">
        <v>568</v>
      </c>
      <c r="G317" s="26" t="s">
        <v>570</v>
      </c>
      <c r="H317" s="13" t="s">
        <v>303</v>
      </c>
      <c r="I317" s="13" t="s">
        <v>481</v>
      </c>
      <c r="J317" s="13" t="s">
        <v>339</v>
      </c>
      <c r="K317" s="13" t="s">
        <v>340</v>
      </c>
    </row>
    <row r="318" spans="1:11" ht="28" x14ac:dyDescent="0.3">
      <c r="A318" s="27" t="str">
        <f>IF(F318="00","General"&amp;INDEX(问题代码结构!$B$12:$B$20,MATCH($E318,问题代码结构!$C$12:$C$20,0)),D318&amp;F318)</f>
        <v>General08</v>
      </c>
      <c r="B318" s="24" t="str">
        <f t="shared" si="8"/>
        <v>专家咨询会-通用</v>
      </c>
      <c r="C318" s="8" t="str">
        <f t="shared" si="9"/>
        <v>MN080010</v>
      </c>
      <c r="D318" s="13" t="s">
        <v>302</v>
      </c>
      <c r="E318" s="13" t="s">
        <v>552</v>
      </c>
      <c r="F318" s="25" t="s">
        <v>568</v>
      </c>
      <c r="G318" s="26" t="s">
        <v>570</v>
      </c>
      <c r="H318" s="13" t="s">
        <v>304</v>
      </c>
      <c r="I318" s="13" t="s">
        <v>482</v>
      </c>
      <c r="J318" s="13" t="s">
        <v>341</v>
      </c>
      <c r="K318" s="13" t="s">
        <v>328</v>
      </c>
    </row>
    <row r="319" spans="1:11" ht="28" x14ac:dyDescent="0.3">
      <c r="A319" s="27" t="str">
        <f>IF(F319="00","General"&amp;INDEX(问题代码结构!$B$12:$B$20,MATCH($E319,问题代码结构!$C$12:$C$20,0)),D319&amp;F319)</f>
        <v>General08</v>
      </c>
      <c r="B319" s="24" t="str">
        <f t="shared" si="8"/>
        <v>专家咨询会-通用</v>
      </c>
      <c r="C319" s="8" t="str">
        <f t="shared" si="9"/>
        <v>MN080011</v>
      </c>
      <c r="D319" s="13" t="s">
        <v>302</v>
      </c>
      <c r="E319" s="13" t="s">
        <v>552</v>
      </c>
      <c r="F319" s="25" t="s">
        <v>568</v>
      </c>
      <c r="G319" s="26" t="s">
        <v>570</v>
      </c>
      <c r="H319" s="13" t="s">
        <v>305</v>
      </c>
      <c r="I319" s="13" t="s">
        <v>483</v>
      </c>
      <c r="J319" s="13" t="s">
        <v>342</v>
      </c>
      <c r="K319" s="13" t="s">
        <v>343</v>
      </c>
    </row>
    <row r="320" spans="1:11" ht="42" x14ac:dyDescent="0.3">
      <c r="A320" s="27" t="str">
        <f>IF(F320="00","General"&amp;INDEX(问题代码结构!$B$12:$B$20,MATCH($E320,问题代码结构!$C$12:$C$20,0)),D320&amp;F320)</f>
        <v>General08</v>
      </c>
      <c r="B320" s="24" t="str">
        <f t="shared" si="8"/>
        <v>专家咨询会-通用</v>
      </c>
      <c r="C320" s="8" t="str">
        <f t="shared" si="9"/>
        <v>MN080012</v>
      </c>
      <c r="D320" s="13" t="s">
        <v>302</v>
      </c>
      <c r="E320" s="13" t="s">
        <v>552</v>
      </c>
      <c r="F320" s="25" t="s">
        <v>568</v>
      </c>
      <c r="G320" s="26" t="s">
        <v>570</v>
      </c>
      <c r="H320" s="13" t="s">
        <v>306</v>
      </c>
      <c r="I320" s="13" t="s">
        <v>484</v>
      </c>
      <c r="J320" s="13" t="s">
        <v>344</v>
      </c>
      <c r="K320" s="13" t="s">
        <v>345</v>
      </c>
    </row>
    <row r="321" spans="1:11" ht="28" x14ac:dyDescent="0.3">
      <c r="A321" s="27" t="str">
        <f>IF(F321="00","General"&amp;INDEX(问题代码结构!$B$12:$B$20,MATCH($E321,问题代码结构!$C$12:$C$20,0)),D321&amp;F321)</f>
        <v>General08</v>
      </c>
      <c r="B321" s="24" t="str">
        <f t="shared" si="8"/>
        <v>专家咨询会-通用</v>
      </c>
      <c r="C321" s="8" t="str">
        <f t="shared" si="9"/>
        <v>MN080013</v>
      </c>
      <c r="D321" s="13" t="s">
        <v>302</v>
      </c>
      <c r="E321" s="13" t="s">
        <v>552</v>
      </c>
      <c r="F321" s="25" t="s">
        <v>568</v>
      </c>
      <c r="G321" s="26" t="s">
        <v>570</v>
      </c>
      <c r="H321" s="13" t="s">
        <v>307</v>
      </c>
      <c r="I321" s="13" t="s">
        <v>485</v>
      </c>
      <c r="J321" s="13" t="s">
        <v>346</v>
      </c>
      <c r="K321" s="13" t="s">
        <v>347</v>
      </c>
    </row>
    <row r="322" spans="1:11" ht="28" x14ac:dyDescent="0.3">
      <c r="A322" s="27" t="str">
        <f>IF(F322="00","General"&amp;INDEX(问题代码结构!$B$12:$B$20,MATCH($E322,问题代码结构!$C$12:$C$20,0)),D322&amp;F322)</f>
        <v>General08</v>
      </c>
      <c r="B322" s="24" t="str">
        <f t="shared" si="8"/>
        <v>专家咨询会-通用</v>
      </c>
      <c r="C322" s="8" t="str">
        <f t="shared" si="9"/>
        <v>MN080014</v>
      </c>
      <c r="D322" s="13" t="s">
        <v>302</v>
      </c>
      <c r="E322" s="13" t="s">
        <v>552</v>
      </c>
      <c r="F322" s="25" t="s">
        <v>568</v>
      </c>
      <c r="G322" s="26" t="s">
        <v>570</v>
      </c>
      <c r="H322" s="13" t="s">
        <v>308</v>
      </c>
      <c r="I322" s="13" t="s">
        <v>486</v>
      </c>
      <c r="J322" s="13" t="s">
        <v>562</v>
      </c>
      <c r="K322" s="13" t="s">
        <v>347</v>
      </c>
    </row>
    <row r="323" spans="1:11" ht="28" x14ac:dyDescent="0.3">
      <c r="A323" s="27" t="str">
        <f>IF(F323="00","General"&amp;INDEX(问题代码结构!$B$12:$B$20,MATCH($E323,问题代码结构!$C$12:$C$20,0)),D323&amp;F323)</f>
        <v>General08</v>
      </c>
      <c r="B323" s="24" t="str">
        <f t="shared" ref="B323:B329" si="10">E323&amp;"-"&amp;G323</f>
        <v>专家咨询会-通用</v>
      </c>
      <c r="C323" s="8" t="str">
        <f t="shared" ref="C323:C329" si="11">"MN"&amp;D323&amp;F323&amp;H323</f>
        <v>MN080015</v>
      </c>
      <c r="D323" s="13" t="s">
        <v>302</v>
      </c>
      <c r="E323" s="13" t="s">
        <v>552</v>
      </c>
      <c r="F323" s="25" t="s">
        <v>568</v>
      </c>
      <c r="G323" s="26" t="s">
        <v>570</v>
      </c>
      <c r="H323" s="13" t="s">
        <v>309</v>
      </c>
      <c r="I323" s="13" t="s">
        <v>487</v>
      </c>
      <c r="J323" s="13" t="s">
        <v>562</v>
      </c>
      <c r="K323" s="13" t="s">
        <v>347</v>
      </c>
    </row>
    <row r="324" spans="1:11" ht="28" x14ac:dyDescent="0.3">
      <c r="A324" s="27" t="str">
        <f>IF(F324="00","General"&amp;INDEX(问题代码结构!$B$12:$B$20,MATCH($E324,问题代码结构!$C$12:$C$20,0)),D324&amp;F324)</f>
        <v>General08</v>
      </c>
      <c r="B324" s="24" t="str">
        <f t="shared" si="10"/>
        <v>专家咨询会-通用</v>
      </c>
      <c r="C324" s="8" t="str">
        <f t="shared" si="11"/>
        <v>MN080016</v>
      </c>
      <c r="D324" s="13" t="s">
        <v>302</v>
      </c>
      <c r="E324" s="13" t="s">
        <v>552</v>
      </c>
      <c r="F324" s="25" t="s">
        <v>568</v>
      </c>
      <c r="G324" s="26" t="s">
        <v>570</v>
      </c>
      <c r="H324" s="13" t="s">
        <v>310</v>
      </c>
      <c r="I324" s="13" t="s">
        <v>488</v>
      </c>
      <c r="J324" s="13" t="s">
        <v>350</v>
      </c>
      <c r="K324" s="13" t="s">
        <v>347</v>
      </c>
    </row>
    <row r="325" spans="1:11" ht="28" x14ac:dyDescent="0.3">
      <c r="A325" s="27" t="str">
        <f>IF(F325="00","General"&amp;INDEX(问题代码结构!$B$12:$B$20,MATCH($E325,问题代码结构!$C$12:$C$20,0)),D325&amp;F325)</f>
        <v>General08</v>
      </c>
      <c r="B325" s="24" t="str">
        <f t="shared" si="10"/>
        <v>专家咨询会-通用</v>
      </c>
      <c r="C325" s="8" t="str">
        <f t="shared" si="11"/>
        <v>MN080017</v>
      </c>
      <c r="D325" s="13" t="s">
        <v>302</v>
      </c>
      <c r="E325" s="13" t="s">
        <v>552</v>
      </c>
      <c r="F325" s="25" t="s">
        <v>568</v>
      </c>
      <c r="G325" s="26" t="s">
        <v>570</v>
      </c>
      <c r="H325" s="13" t="s">
        <v>311</v>
      </c>
      <c r="I325" s="13" t="s">
        <v>489</v>
      </c>
      <c r="J325" s="13" t="s">
        <v>563</v>
      </c>
      <c r="K325" s="13" t="s">
        <v>347</v>
      </c>
    </row>
    <row r="326" spans="1:11" ht="28" x14ac:dyDescent="0.3">
      <c r="A326" s="27" t="str">
        <f>IF(F326="00","General"&amp;INDEX(问题代码结构!$B$12:$B$20,MATCH($E326,问题代码结构!$C$12:$C$20,0)),D326&amp;F326)</f>
        <v>General08</v>
      </c>
      <c r="B326" s="24" t="str">
        <f t="shared" si="10"/>
        <v>专家咨询会-通用</v>
      </c>
      <c r="C326" s="8" t="str">
        <f t="shared" si="11"/>
        <v>MN080018</v>
      </c>
      <c r="D326" s="13" t="s">
        <v>302</v>
      </c>
      <c r="E326" s="13" t="s">
        <v>552</v>
      </c>
      <c r="F326" s="25" t="s">
        <v>568</v>
      </c>
      <c r="G326" s="26" t="s">
        <v>570</v>
      </c>
      <c r="H326" s="13" t="s">
        <v>312</v>
      </c>
      <c r="I326" s="13" t="s">
        <v>490</v>
      </c>
      <c r="J326" s="13" t="s">
        <v>564</v>
      </c>
      <c r="K326" s="13" t="s">
        <v>353</v>
      </c>
    </row>
    <row r="327" spans="1:11" ht="28" x14ac:dyDescent="0.3">
      <c r="A327" s="27" t="str">
        <f>IF(F327="00","General"&amp;INDEX(问题代码结构!$B$12:$B$20,MATCH($E327,问题代码结构!$C$12:$C$20,0)),D327&amp;F327)</f>
        <v>General08</v>
      </c>
      <c r="B327" s="24" t="str">
        <f t="shared" si="10"/>
        <v>专家咨询会-通用</v>
      </c>
      <c r="C327" s="8" t="str">
        <f t="shared" si="11"/>
        <v>MN080019</v>
      </c>
      <c r="D327" s="13" t="s">
        <v>302</v>
      </c>
      <c r="E327" s="13" t="s">
        <v>552</v>
      </c>
      <c r="F327" s="25" t="s">
        <v>568</v>
      </c>
      <c r="G327" s="26" t="s">
        <v>570</v>
      </c>
      <c r="H327" s="13" t="s">
        <v>313</v>
      </c>
      <c r="I327" s="13" t="s">
        <v>565</v>
      </c>
      <c r="J327" s="13" t="s">
        <v>566</v>
      </c>
      <c r="K327" s="13" t="s">
        <v>355</v>
      </c>
    </row>
    <row r="328" spans="1:11" ht="42" x14ac:dyDescent="0.3">
      <c r="A328" s="27" t="str">
        <f>IF(F328="00","General"&amp;INDEX(问题代码结构!$B$12:$B$20,MATCH($E328,问题代码结构!$C$12:$C$20,0)),D328&amp;F328)</f>
        <v>General08</v>
      </c>
      <c r="B328" s="24" t="str">
        <f t="shared" si="10"/>
        <v>专家咨询会-通用</v>
      </c>
      <c r="C328" s="8" t="str">
        <f t="shared" si="11"/>
        <v>MN080020</v>
      </c>
      <c r="D328" s="13" t="s">
        <v>302</v>
      </c>
      <c r="E328" s="13" t="s">
        <v>552</v>
      </c>
      <c r="F328" s="25" t="s">
        <v>568</v>
      </c>
      <c r="G328" s="26" t="s">
        <v>570</v>
      </c>
      <c r="H328" s="13" t="s">
        <v>314</v>
      </c>
      <c r="I328" s="13" t="s">
        <v>492</v>
      </c>
      <c r="J328" s="13" t="s">
        <v>356</v>
      </c>
      <c r="K328" s="13" t="s">
        <v>357</v>
      </c>
    </row>
    <row r="329" spans="1:11" ht="28" x14ac:dyDescent="0.3">
      <c r="A329" s="27" t="str">
        <f>IF(F329="00","General"&amp;INDEX(问题代码结构!$B$12:$B$20,MATCH($E329,问题代码结构!$C$12:$C$20,0)),D329&amp;F329)</f>
        <v>General08</v>
      </c>
      <c r="B329" s="24" t="str">
        <f t="shared" si="10"/>
        <v>专家咨询会-通用</v>
      </c>
      <c r="C329" s="8" t="str">
        <f t="shared" si="11"/>
        <v>MN080021</v>
      </c>
      <c r="D329" s="13" t="s">
        <v>302</v>
      </c>
      <c r="E329" s="13" t="s">
        <v>552</v>
      </c>
      <c r="F329" s="25" t="s">
        <v>568</v>
      </c>
      <c r="G329" s="26" t="s">
        <v>570</v>
      </c>
      <c r="H329" s="13" t="s">
        <v>315</v>
      </c>
      <c r="I329" s="13" t="s">
        <v>493</v>
      </c>
      <c r="J329" s="13" t="s">
        <v>567</v>
      </c>
      <c r="K329" s="13" t="s">
        <v>359</v>
      </c>
    </row>
  </sheetData>
  <autoFilter ref="A1:K329" xr:uid="{76E5F181-E6BC-458E-A708-9185E1C34935}"/>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5943-1E3E-4620-8360-325421A728A2}">
  <dimension ref="A3:G35"/>
  <sheetViews>
    <sheetView workbookViewId="0">
      <selection activeCell="H29" sqref="H29"/>
    </sheetView>
  </sheetViews>
  <sheetFormatPr defaultColWidth="17.1640625" defaultRowHeight="14" x14ac:dyDescent="0.3"/>
  <cols>
    <col min="1" max="1" width="16.5" bestFit="1" customWidth="1"/>
    <col min="2" max="2" width="33.58203125" bestFit="1" customWidth="1"/>
    <col min="3" max="3" width="16" bestFit="1" customWidth="1"/>
    <col min="4" max="4" width="11.08203125" bestFit="1" customWidth="1"/>
    <col min="5" max="5" width="15.83203125" bestFit="1" customWidth="1"/>
    <col min="6" max="6" width="26.58203125" bestFit="1" customWidth="1"/>
    <col min="7" max="7" width="17.33203125" bestFit="1" customWidth="1"/>
  </cols>
  <sheetData>
    <row r="3" spans="1:7" x14ac:dyDescent="0.3">
      <c r="A3" s="15" t="s">
        <v>776</v>
      </c>
      <c r="B3" s="15" t="s">
        <v>778</v>
      </c>
      <c r="C3" s="15" t="s">
        <v>446</v>
      </c>
      <c r="D3" s="15" t="s">
        <v>447</v>
      </c>
      <c r="E3" s="15" t="s">
        <v>448</v>
      </c>
      <c r="F3" s="15" t="s">
        <v>449</v>
      </c>
      <c r="G3" t="s">
        <v>445</v>
      </c>
    </row>
    <row r="4" spans="1:7" x14ac:dyDescent="0.3">
      <c r="A4" t="s">
        <v>714</v>
      </c>
      <c r="B4" t="s">
        <v>745</v>
      </c>
      <c r="C4" t="s">
        <v>294</v>
      </c>
      <c r="D4" t="s">
        <v>450</v>
      </c>
      <c r="E4" t="s">
        <v>295</v>
      </c>
      <c r="F4" t="s">
        <v>10</v>
      </c>
      <c r="G4" s="16">
        <v>5</v>
      </c>
    </row>
    <row r="5" spans="1:7" x14ac:dyDescent="0.3">
      <c r="A5" t="s">
        <v>715</v>
      </c>
      <c r="B5" t="s">
        <v>746</v>
      </c>
      <c r="C5" t="s">
        <v>294</v>
      </c>
      <c r="D5" t="s">
        <v>450</v>
      </c>
      <c r="E5" t="s">
        <v>296</v>
      </c>
      <c r="F5" t="s">
        <v>30</v>
      </c>
      <c r="G5" s="16">
        <v>4</v>
      </c>
    </row>
    <row r="6" spans="1:7" x14ac:dyDescent="0.3">
      <c r="A6" t="s">
        <v>716</v>
      </c>
      <c r="B6" t="s">
        <v>747</v>
      </c>
      <c r="C6" t="s">
        <v>294</v>
      </c>
      <c r="D6" t="s">
        <v>450</v>
      </c>
      <c r="E6" t="s">
        <v>297</v>
      </c>
      <c r="F6" t="s">
        <v>451</v>
      </c>
      <c r="G6" s="16">
        <v>4</v>
      </c>
    </row>
    <row r="7" spans="1:7" x14ac:dyDescent="0.3">
      <c r="A7" t="s">
        <v>717</v>
      </c>
      <c r="B7" t="s">
        <v>748</v>
      </c>
      <c r="C7" t="s">
        <v>294</v>
      </c>
      <c r="D7" t="s">
        <v>450</v>
      </c>
      <c r="E7" t="s">
        <v>298</v>
      </c>
      <c r="F7" t="s">
        <v>452</v>
      </c>
      <c r="G7" s="16">
        <v>3</v>
      </c>
    </row>
    <row r="8" spans="1:7" x14ac:dyDescent="0.3">
      <c r="A8" t="s">
        <v>718</v>
      </c>
      <c r="B8" t="s">
        <v>749</v>
      </c>
      <c r="C8" t="s">
        <v>294</v>
      </c>
      <c r="D8" t="s">
        <v>450</v>
      </c>
      <c r="E8" t="s">
        <v>299</v>
      </c>
      <c r="F8" t="s">
        <v>453</v>
      </c>
      <c r="G8" s="16">
        <v>2</v>
      </c>
    </row>
    <row r="9" spans="1:7" x14ac:dyDescent="0.3">
      <c r="A9" t="s">
        <v>719</v>
      </c>
      <c r="B9" t="s">
        <v>750</v>
      </c>
      <c r="C9" t="s">
        <v>294</v>
      </c>
      <c r="D9" t="s">
        <v>450</v>
      </c>
      <c r="E9" t="s">
        <v>300</v>
      </c>
      <c r="F9" t="s">
        <v>454</v>
      </c>
      <c r="G9" s="16">
        <v>2</v>
      </c>
    </row>
    <row r="10" spans="1:7" x14ac:dyDescent="0.3">
      <c r="A10" t="s">
        <v>720</v>
      </c>
      <c r="B10" t="s">
        <v>751</v>
      </c>
      <c r="C10" t="s">
        <v>294</v>
      </c>
      <c r="D10" t="s">
        <v>450</v>
      </c>
      <c r="E10" t="s">
        <v>301</v>
      </c>
      <c r="F10" t="s">
        <v>455</v>
      </c>
      <c r="G10" s="16">
        <v>1</v>
      </c>
    </row>
    <row r="11" spans="1:7" x14ac:dyDescent="0.3">
      <c r="A11" t="s">
        <v>721</v>
      </c>
      <c r="B11" t="s">
        <v>752</v>
      </c>
      <c r="C11" t="s">
        <v>294</v>
      </c>
      <c r="D11" t="s">
        <v>450</v>
      </c>
      <c r="E11" t="s">
        <v>302</v>
      </c>
      <c r="F11" t="s">
        <v>456</v>
      </c>
      <c r="G11" s="16">
        <v>3</v>
      </c>
    </row>
    <row r="12" spans="1:7" x14ac:dyDescent="0.3">
      <c r="A12" t="s">
        <v>722</v>
      </c>
      <c r="B12" t="s">
        <v>753</v>
      </c>
      <c r="C12" t="s">
        <v>294</v>
      </c>
      <c r="D12" t="s">
        <v>450</v>
      </c>
      <c r="E12" t="s">
        <v>303</v>
      </c>
      <c r="F12" t="s">
        <v>92</v>
      </c>
      <c r="G12" s="16">
        <v>3</v>
      </c>
    </row>
    <row r="13" spans="1:7" x14ac:dyDescent="0.3">
      <c r="A13" t="s">
        <v>723</v>
      </c>
      <c r="B13" t="s">
        <v>754</v>
      </c>
      <c r="C13" t="s">
        <v>294</v>
      </c>
      <c r="D13" t="s">
        <v>450</v>
      </c>
      <c r="E13" t="s">
        <v>304</v>
      </c>
      <c r="F13" t="s">
        <v>457</v>
      </c>
      <c r="G13" s="16">
        <v>4</v>
      </c>
    </row>
    <row r="14" spans="1:7" x14ac:dyDescent="0.3">
      <c r="A14" t="s">
        <v>724</v>
      </c>
      <c r="B14" t="s">
        <v>755</v>
      </c>
      <c r="C14" t="s">
        <v>294</v>
      </c>
      <c r="D14" t="s">
        <v>450</v>
      </c>
      <c r="E14" t="s">
        <v>305</v>
      </c>
      <c r="F14" t="s">
        <v>458</v>
      </c>
      <c r="G14" s="16">
        <v>4</v>
      </c>
    </row>
    <row r="15" spans="1:7" x14ac:dyDescent="0.3">
      <c r="A15" t="s">
        <v>725</v>
      </c>
      <c r="B15" t="s">
        <v>756</v>
      </c>
      <c r="C15" t="s">
        <v>294</v>
      </c>
      <c r="D15" t="s">
        <v>450</v>
      </c>
      <c r="E15" t="s">
        <v>306</v>
      </c>
      <c r="F15" t="s">
        <v>459</v>
      </c>
      <c r="G15" s="16">
        <v>2</v>
      </c>
    </row>
    <row r="16" spans="1:7" x14ac:dyDescent="0.3">
      <c r="A16" t="s">
        <v>726</v>
      </c>
      <c r="B16" t="s">
        <v>757</v>
      </c>
      <c r="C16" t="s">
        <v>294</v>
      </c>
      <c r="D16" t="s">
        <v>450</v>
      </c>
      <c r="E16" t="s">
        <v>307</v>
      </c>
      <c r="F16" t="s">
        <v>460</v>
      </c>
      <c r="G16" s="16">
        <v>1</v>
      </c>
    </row>
    <row r="17" spans="1:7" x14ac:dyDescent="0.3">
      <c r="A17" t="s">
        <v>727</v>
      </c>
      <c r="B17" t="s">
        <v>758</v>
      </c>
      <c r="C17" t="s">
        <v>294</v>
      </c>
      <c r="D17" t="s">
        <v>450</v>
      </c>
      <c r="E17" t="s">
        <v>308</v>
      </c>
      <c r="F17" t="s">
        <v>461</v>
      </c>
      <c r="G17" s="16">
        <v>4</v>
      </c>
    </row>
    <row r="18" spans="1:7" x14ac:dyDescent="0.3">
      <c r="A18" t="s">
        <v>728</v>
      </c>
      <c r="B18" t="s">
        <v>759</v>
      </c>
      <c r="C18" t="s">
        <v>294</v>
      </c>
      <c r="D18" t="s">
        <v>450</v>
      </c>
      <c r="E18" t="s">
        <v>309</v>
      </c>
      <c r="F18" t="s">
        <v>462</v>
      </c>
      <c r="G18" s="16">
        <v>3</v>
      </c>
    </row>
    <row r="19" spans="1:7" x14ac:dyDescent="0.3">
      <c r="A19" t="s">
        <v>729</v>
      </c>
      <c r="B19" t="s">
        <v>760</v>
      </c>
      <c r="C19" t="s">
        <v>294</v>
      </c>
      <c r="D19" t="s">
        <v>450</v>
      </c>
      <c r="E19" t="s">
        <v>310</v>
      </c>
      <c r="F19" t="s">
        <v>144</v>
      </c>
      <c r="G19" s="16">
        <v>2</v>
      </c>
    </row>
    <row r="20" spans="1:7" x14ac:dyDescent="0.3">
      <c r="A20" t="s">
        <v>730</v>
      </c>
      <c r="B20" t="s">
        <v>761</v>
      </c>
      <c r="C20" t="s">
        <v>294</v>
      </c>
      <c r="D20" t="s">
        <v>450</v>
      </c>
      <c r="E20" t="s">
        <v>311</v>
      </c>
      <c r="F20" t="s">
        <v>463</v>
      </c>
      <c r="G20" s="16">
        <v>3</v>
      </c>
    </row>
    <row r="21" spans="1:7" x14ac:dyDescent="0.3">
      <c r="A21" t="s">
        <v>731</v>
      </c>
      <c r="B21" t="s">
        <v>762</v>
      </c>
      <c r="C21" t="s">
        <v>294</v>
      </c>
      <c r="D21" t="s">
        <v>450</v>
      </c>
      <c r="E21" t="s">
        <v>312</v>
      </c>
      <c r="F21" t="s">
        <v>163</v>
      </c>
      <c r="G21" s="16">
        <v>1</v>
      </c>
    </row>
    <row r="22" spans="1:7" x14ac:dyDescent="0.3">
      <c r="A22" t="s">
        <v>732</v>
      </c>
      <c r="B22" t="s">
        <v>763</v>
      </c>
      <c r="C22" t="s">
        <v>294</v>
      </c>
      <c r="D22" t="s">
        <v>450</v>
      </c>
      <c r="E22" t="s">
        <v>313</v>
      </c>
      <c r="F22" t="s">
        <v>167</v>
      </c>
      <c r="G22" s="16">
        <v>4</v>
      </c>
    </row>
    <row r="23" spans="1:7" x14ac:dyDescent="0.3">
      <c r="A23" t="s">
        <v>733</v>
      </c>
      <c r="B23" t="s">
        <v>764</v>
      </c>
      <c r="C23" t="s">
        <v>294</v>
      </c>
      <c r="D23" t="s">
        <v>450</v>
      </c>
      <c r="E23" t="s">
        <v>314</v>
      </c>
      <c r="F23" t="s">
        <v>175</v>
      </c>
      <c r="G23" s="16">
        <v>6</v>
      </c>
    </row>
    <row r="24" spans="1:7" x14ac:dyDescent="0.3">
      <c r="A24" t="s">
        <v>734</v>
      </c>
      <c r="B24" t="s">
        <v>765</v>
      </c>
      <c r="C24" t="s">
        <v>294</v>
      </c>
      <c r="D24" t="s">
        <v>450</v>
      </c>
      <c r="E24" t="s">
        <v>315</v>
      </c>
      <c r="F24" t="s">
        <v>189</v>
      </c>
      <c r="G24" s="16">
        <v>6</v>
      </c>
    </row>
    <row r="25" spans="1:7" x14ac:dyDescent="0.3">
      <c r="A25" t="s">
        <v>735</v>
      </c>
      <c r="B25" t="s">
        <v>766</v>
      </c>
      <c r="C25" t="s">
        <v>294</v>
      </c>
      <c r="D25" t="s">
        <v>450</v>
      </c>
      <c r="E25" t="s">
        <v>316</v>
      </c>
      <c r="F25" t="s">
        <v>464</v>
      </c>
      <c r="G25" s="16">
        <v>7</v>
      </c>
    </row>
    <row r="26" spans="1:7" x14ac:dyDescent="0.3">
      <c r="A26" t="s">
        <v>736</v>
      </c>
      <c r="B26" t="s">
        <v>767</v>
      </c>
      <c r="C26" t="s">
        <v>294</v>
      </c>
      <c r="D26" t="s">
        <v>450</v>
      </c>
      <c r="E26" t="s">
        <v>317</v>
      </c>
      <c r="F26" t="s">
        <v>465</v>
      </c>
      <c r="G26" s="16">
        <v>7</v>
      </c>
    </row>
    <row r="27" spans="1:7" x14ac:dyDescent="0.3">
      <c r="A27" t="s">
        <v>737</v>
      </c>
      <c r="B27" t="s">
        <v>768</v>
      </c>
      <c r="C27" t="s">
        <v>294</v>
      </c>
      <c r="D27" t="s">
        <v>450</v>
      </c>
      <c r="E27" t="s">
        <v>318</v>
      </c>
      <c r="F27" t="s">
        <v>466</v>
      </c>
      <c r="G27" s="16">
        <v>7</v>
      </c>
    </row>
    <row r="28" spans="1:7" x14ac:dyDescent="0.3">
      <c r="A28" t="s">
        <v>738</v>
      </c>
      <c r="B28" t="s">
        <v>769</v>
      </c>
      <c r="C28" t="s">
        <v>294</v>
      </c>
      <c r="D28" t="s">
        <v>450</v>
      </c>
      <c r="E28" t="s">
        <v>319</v>
      </c>
      <c r="F28" t="s">
        <v>467</v>
      </c>
      <c r="G28" s="16">
        <v>7</v>
      </c>
    </row>
    <row r="29" spans="1:7" x14ac:dyDescent="0.3">
      <c r="A29" t="s">
        <v>739</v>
      </c>
      <c r="B29" t="s">
        <v>770</v>
      </c>
      <c r="C29" t="s">
        <v>294</v>
      </c>
      <c r="D29" t="s">
        <v>450</v>
      </c>
      <c r="E29" t="s">
        <v>320</v>
      </c>
      <c r="F29" t="s">
        <v>468</v>
      </c>
      <c r="G29" s="16">
        <v>7</v>
      </c>
    </row>
    <row r="30" spans="1:7" x14ac:dyDescent="0.3">
      <c r="A30" t="s">
        <v>740</v>
      </c>
      <c r="B30" t="s">
        <v>771</v>
      </c>
      <c r="C30" t="s">
        <v>294</v>
      </c>
      <c r="D30" t="s">
        <v>450</v>
      </c>
      <c r="E30" t="s">
        <v>321</v>
      </c>
      <c r="F30" t="s">
        <v>251</v>
      </c>
      <c r="G30" s="16">
        <v>6</v>
      </c>
    </row>
    <row r="31" spans="1:7" x14ac:dyDescent="0.3">
      <c r="A31" t="s">
        <v>741</v>
      </c>
      <c r="B31" t="s">
        <v>772</v>
      </c>
      <c r="C31" t="s">
        <v>294</v>
      </c>
      <c r="D31" t="s">
        <v>450</v>
      </c>
      <c r="E31" t="s">
        <v>322</v>
      </c>
      <c r="F31" t="s">
        <v>260</v>
      </c>
      <c r="G31" s="16">
        <v>5</v>
      </c>
    </row>
    <row r="32" spans="1:7" x14ac:dyDescent="0.3">
      <c r="A32" t="s">
        <v>742</v>
      </c>
      <c r="B32" t="s">
        <v>773</v>
      </c>
      <c r="C32" t="s">
        <v>294</v>
      </c>
      <c r="D32" t="s">
        <v>450</v>
      </c>
      <c r="E32" t="s">
        <v>323</v>
      </c>
      <c r="F32" t="s">
        <v>272</v>
      </c>
      <c r="G32" s="16">
        <v>8</v>
      </c>
    </row>
    <row r="33" spans="1:7" x14ac:dyDescent="0.3">
      <c r="A33" t="s">
        <v>743</v>
      </c>
      <c r="B33" t="s">
        <v>774</v>
      </c>
      <c r="C33" t="s">
        <v>294</v>
      </c>
      <c r="D33" t="s">
        <v>450</v>
      </c>
      <c r="E33" t="s">
        <v>324</v>
      </c>
      <c r="F33" t="s">
        <v>292</v>
      </c>
      <c r="G33" s="16">
        <v>2</v>
      </c>
    </row>
    <row r="34" spans="1:7" x14ac:dyDescent="0.3">
      <c r="A34" t="s">
        <v>744</v>
      </c>
      <c r="B34" t="s">
        <v>775</v>
      </c>
      <c r="C34" t="s">
        <v>294</v>
      </c>
      <c r="D34" t="s">
        <v>450</v>
      </c>
      <c r="E34" t="s">
        <v>294</v>
      </c>
      <c r="F34" t="s">
        <v>569</v>
      </c>
      <c r="G34" s="16">
        <v>3</v>
      </c>
    </row>
    <row r="35" spans="1:7" x14ac:dyDescent="0.3">
      <c r="A35" t="s">
        <v>444</v>
      </c>
      <c r="G35" s="16">
        <v>126</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6F22A-4D40-41D9-9F4A-055F43545926}">
  <dimension ref="A3:F330"/>
  <sheetViews>
    <sheetView topLeftCell="A34" workbookViewId="0">
      <selection activeCell="H29" sqref="H29"/>
    </sheetView>
  </sheetViews>
  <sheetFormatPr defaultColWidth="9.25" defaultRowHeight="14" x14ac:dyDescent="0.3"/>
  <cols>
    <col min="1" max="1" width="16.5" bestFit="1" customWidth="1"/>
    <col min="2" max="2" width="43.75" bestFit="1" customWidth="1"/>
    <col min="3" max="3" width="16" bestFit="1" customWidth="1"/>
    <col min="4" max="4" width="26" bestFit="1" customWidth="1"/>
    <col min="5" max="5" width="15.83203125" bestFit="1" customWidth="1"/>
    <col min="6" max="6" width="17.25" bestFit="1" customWidth="1"/>
    <col min="7" max="7" width="12.58203125" bestFit="1" customWidth="1"/>
    <col min="8" max="8" width="30.5" bestFit="1" customWidth="1"/>
  </cols>
  <sheetData>
    <row r="3" spans="1:6" x14ac:dyDescent="0.3">
      <c r="A3" s="15" t="s">
        <v>776</v>
      </c>
      <c r="B3" s="15" t="s">
        <v>778</v>
      </c>
      <c r="C3" s="15" t="s">
        <v>446</v>
      </c>
      <c r="D3" s="15" t="s">
        <v>447</v>
      </c>
      <c r="E3" s="15" t="s">
        <v>448</v>
      </c>
      <c r="F3" s="15" t="s">
        <v>449</v>
      </c>
    </row>
    <row r="4" spans="1:6" x14ac:dyDescent="0.3">
      <c r="A4" t="s">
        <v>572</v>
      </c>
      <c r="B4" t="s">
        <v>625</v>
      </c>
      <c r="C4" t="s">
        <v>295</v>
      </c>
      <c r="D4" t="s">
        <v>430</v>
      </c>
      <c r="E4" t="s">
        <v>295</v>
      </c>
      <c r="F4" t="s">
        <v>431</v>
      </c>
    </row>
    <row r="5" spans="1:6" x14ac:dyDescent="0.3">
      <c r="A5" t="s">
        <v>573</v>
      </c>
      <c r="B5" t="s">
        <v>626</v>
      </c>
      <c r="C5" t="s">
        <v>295</v>
      </c>
      <c r="D5" t="s">
        <v>430</v>
      </c>
      <c r="E5" t="s">
        <v>296</v>
      </c>
      <c r="F5" t="s">
        <v>432</v>
      </c>
    </row>
    <row r="6" spans="1:6" x14ac:dyDescent="0.3">
      <c r="A6" t="s">
        <v>574</v>
      </c>
      <c r="B6" t="s">
        <v>627</v>
      </c>
      <c r="C6" t="s">
        <v>295</v>
      </c>
      <c r="D6" t="s">
        <v>430</v>
      </c>
      <c r="E6" t="s">
        <v>297</v>
      </c>
      <c r="F6" t="s">
        <v>433</v>
      </c>
    </row>
    <row r="7" spans="1:6" x14ac:dyDescent="0.3">
      <c r="A7" t="s">
        <v>575</v>
      </c>
      <c r="B7" t="s">
        <v>628</v>
      </c>
      <c r="C7" t="s">
        <v>295</v>
      </c>
      <c r="D7" t="s">
        <v>430</v>
      </c>
      <c r="E7" t="s">
        <v>298</v>
      </c>
      <c r="F7" t="s">
        <v>434</v>
      </c>
    </row>
    <row r="8" spans="1:6" x14ac:dyDescent="0.3">
      <c r="A8" t="s">
        <v>576</v>
      </c>
      <c r="B8" t="s">
        <v>629</v>
      </c>
      <c r="C8" t="s">
        <v>295</v>
      </c>
      <c r="D8" t="s">
        <v>430</v>
      </c>
      <c r="E8" t="s">
        <v>299</v>
      </c>
      <c r="F8" t="s">
        <v>435</v>
      </c>
    </row>
    <row r="9" spans="1:6" x14ac:dyDescent="0.3">
      <c r="A9" t="s">
        <v>577</v>
      </c>
      <c r="B9" t="s">
        <v>630</v>
      </c>
      <c r="C9" t="s">
        <v>295</v>
      </c>
      <c r="D9" t="s">
        <v>430</v>
      </c>
      <c r="E9" t="s">
        <v>300</v>
      </c>
      <c r="F9" t="s">
        <v>436</v>
      </c>
    </row>
    <row r="10" spans="1:6" x14ac:dyDescent="0.3">
      <c r="A10" t="s">
        <v>578</v>
      </c>
      <c r="B10" t="s">
        <v>631</v>
      </c>
      <c r="C10" t="s">
        <v>295</v>
      </c>
      <c r="D10" t="s">
        <v>430</v>
      </c>
      <c r="E10" t="s">
        <v>301</v>
      </c>
      <c r="F10" t="s">
        <v>437</v>
      </c>
    </row>
    <row r="11" spans="1:6" x14ac:dyDescent="0.3">
      <c r="A11" t="s">
        <v>579</v>
      </c>
      <c r="B11" t="s">
        <v>632</v>
      </c>
      <c r="C11" t="s">
        <v>295</v>
      </c>
      <c r="D11" t="s">
        <v>430</v>
      </c>
      <c r="E11" t="s">
        <v>302</v>
      </c>
      <c r="F11" t="s">
        <v>438</v>
      </c>
    </row>
    <row r="12" spans="1:6" x14ac:dyDescent="0.3">
      <c r="A12" t="s">
        <v>580</v>
      </c>
      <c r="B12" t="s">
        <v>633</v>
      </c>
      <c r="C12" t="s">
        <v>295</v>
      </c>
      <c r="D12" t="s">
        <v>430</v>
      </c>
      <c r="E12" t="s">
        <v>303</v>
      </c>
      <c r="F12" t="s">
        <v>439</v>
      </c>
    </row>
    <row r="13" spans="1:6" x14ac:dyDescent="0.3">
      <c r="A13" t="s">
        <v>581</v>
      </c>
      <c r="B13" t="s">
        <v>634</v>
      </c>
      <c r="C13" t="s">
        <v>295</v>
      </c>
      <c r="D13" t="s">
        <v>430</v>
      </c>
      <c r="E13" t="s">
        <v>304</v>
      </c>
      <c r="F13" t="s">
        <v>440</v>
      </c>
    </row>
    <row r="14" spans="1:6" x14ac:dyDescent="0.3">
      <c r="A14" t="s">
        <v>582</v>
      </c>
      <c r="B14" t="s">
        <v>635</v>
      </c>
      <c r="C14" t="s">
        <v>295</v>
      </c>
      <c r="D14" t="s">
        <v>430</v>
      </c>
      <c r="E14" t="s">
        <v>305</v>
      </c>
      <c r="F14" t="s">
        <v>441</v>
      </c>
    </row>
    <row r="15" spans="1:6" x14ac:dyDescent="0.3">
      <c r="A15" t="s">
        <v>583</v>
      </c>
      <c r="B15" t="s">
        <v>637</v>
      </c>
      <c r="C15" t="s">
        <v>296</v>
      </c>
      <c r="D15" t="s">
        <v>442</v>
      </c>
      <c r="E15" t="s">
        <v>295</v>
      </c>
      <c r="F15" t="s">
        <v>431</v>
      </c>
    </row>
    <row r="16" spans="1:6" x14ac:dyDescent="0.3">
      <c r="A16" t="s">
        <v>584</v>
      </c>
      <c r="B16" t="s">
        <v>638</v>
      </c>
      <c r="C16" t="s">
        <v>296</v>
      </c>
      <c r="D16" t="s">
        <v>442</v>
      </c>
      <c r="E16" t="s">
        <v>296</v>
      </c>
      <c r="F16" t="s">
        <v>432</v>
      </c>
    </row>
    <row r="17" spans="1:6" x14ac:dyDescent="0.3">
      <c r="A17" t="s">
        <v>585</v>
      </c>
      <c r="B17" t="s">
        <v>639</v>
      </c>
      <c r="C17" t="s">
        <v>296</v>
      </c>
      <c r="D17" t="s">
        <v>442</v>
      </c>
      <c r="E17" t="s">
        <v>300</v>
      </c>
      <c r="F17" t="s">
        <v>436</v>
      </c>
    </row>
    <row r="18" spans="1:6" x14ac:dyDescent="0.3">
      <c r="A18" t="s">
        <v>586</v>
      </c>
      <c r="B18" t="s">
        <v>641</v>
      </c>
      <c r="C18" t="s">
        <v>297</v>
      </c>
      <c r="D18" t="s">
        <v>443</v>
      </c>
      <c r="E18" t="s">
        <v>296</v>
      </c>
      <c r="F18" t="s">
        <v>432</v>
      </c>
    </row>
    <row r="19" spans="1:6" x14ac:dyDescent="0.3">
      <c r="A19" t="s">
        <v>587</v>
      </c>
      <c r="B19" t="s">
        <v>642</v>
      </c>
      <c r="C19" t="s">
        <v>297</v>
      </c>
      <c r="D19" t="s">
        <v>443</v>
      </c>
      <c r="E19" t="s">
        <v>300</v>
      </c>
      <c r="F19" t="s">
        <v>436</v>
      </c>
    </row>
    <row r="20" spans="1:6" x14ac:dyDescent="0.3">
      <c r="A20" t="s">
        <v>588</v>
      </c>
      <c r="B20" t="s">
        <v>644</v>
      </c>
      <c r="C20" t="s">
        <v>298</v>
      </c>
      <c r="D20" t="s">
        <v>507</v>
      </c>
      <c r="E20" t="s">
        <v>295</v>
      </c>
      <c r="F20" t="s">
        <v>431</v>
      </c>
    </row>
    <row r="21" spans="1:6" x14ac:dyDescent="0.3">
      <c r="A21" t="s">
        <v>589</v>
      </c>
      <c r="B21" t="s">
        <v>645</v>
      </c>
      <c r="C21" t="s">
        <v>298</v>
      </c>
      <c r="D21" t="s">
        <v>507</v>
      </c>
      <c r="E21" t="s">
        <v>296</v>
      </c>
      <c r="F21" t="s">
        <v>432</v>
      </c>
    </row>
    <row r="22" spans="1:6" x14ac:dyDescent="0.3">
      <c r="A22" t="s">
        <v>590</v>
      </c>
      <c r="B22" t="s">
        <v>646</v>
      </c>
      <c r="C22" t="s">
        <v>298</v>
      </c>
      <c r="D22" t="s">
        <v>507</v>
      </c>
      <c r="E22" t="s">
        <v>297</v>
      </c>
      <c r="F22" t="s">
        <v>433</v>
      </c>
    </row>
    <row r="23" spans="1:6" x14ac:dyDescent="0.3">
      <c r="A23" t="s">
        <v>591</v>
      </c>
      <c r="B23" t="s">
        <v>647</v>
      </c>
      <c r="C23" t="s">
        <v>298</v>
      </c>
      <c r="D23" t="s">
        <v>507</v>
      </c>
      <c r="E23" t="s">
        <v>298</v>
      </c>
      <c r="F23" t="s">
        <v>434</v>
      </c>
    </row>
    <row r="24" spans="1:6" x14ac:dyDescent="0.3">
      <c r="A24" t="s">
        <v>592</v>
      </c>
      <c r="B24" t="s">
        <v>648</v>
      </c>
      <c r="C24" t="s">
        <v>298</v>
      </c>
      <c r="D24" t="s">
        <v>507</v>
      </c>
      <c r="E24" t="s">
        <v>299</v>
      </c>
      <c r="F24" t="s">
        <v>435</v>
      </c>
    </row>
    <row r="25" spans="1:6" x14ac:dyDescent="0.3">
      <c r="A25" t="s">
        <v>593</v>
      </c>
      <c r="B25" t="s">
        <v>649</v>
      </c>
      <c r="C25" t="s">
        <v>298</v>
      </c>
      <c r="D25" t="s">
        <v>507</v>
      </c>
      <c r="E25" t="s">
        <v>300</v>
      </c>
      <c r="F25" t="s">
        <v>436</v>
      </c>
    </row>
    <row r="26" spans="1:6" x14ac:dyDescent="0.3">
      <c r="A26" t="s">
        <v>594</v>
      </c>
      <c r="B26" t="s">
        <v>650</v>
      </c>
      <c r="C26" t="s">
        <v>298</v>
      </c>
      <c r="D26" t="s">
        <v>507</v>
      </c>
      <c r="E26" t="s">
        <v>301</v>
      </c>
      <c r="F26" t="s">
        <v>437</v>
      </c>
    </row>
    <row r="27" spans="1:6" x14ac:dyDescent="0.3">
      <c r="A27" t="s">
        <v>595</v>
      </c>
      <c r="B27" t="s">
        <v>651</v>
      </c>
      <c r="C27" t="s">
        <v>298</v>
      </c>
      <c r="D27" t="s">
        <v>507</v>
      </c>
      <c r="E27" t="s">
        <v>302</v>
      </c>
      <c r="F27" t="s">
        <v>438</v>
      </c>
    </row>
    <row r="28" spans="1:6" x14ac:dyDescent="0.3">
      <c r="A28" t="s">
        <v>596</v>
      </c>
      <c r="B28" t="s">
        <v>652</v>
      </c>
      <c r="C28" t="s">
        <v>298</v>
      </c>
      <c r="D28" t="s">
        <v>507</v>
      </c>
      <c r="E28" t="s">
        <v>303</v>
      </c>
      <c r="F28" t="s">
        <v>439</v>
      </c>
    </row>
    <row r="29" spans="1:6" x14ac:dyDescent="0.3">
      <c r="A29" t="s">
        <v>597</v>
      </c>
      <c r="B29" t="s">
        <v>653</v>
      </c>
      <c r="C29" t="s">
        <v>298</v>
      </c>
      <c r="D29" t="s">
        <v>507</v>
      </c>
      <c r="E29" t="s">
        <v>304</v>
      </c>
      <c r="F29" t="s">
        <v>440</v>
      </c>
    </row>
    <row r="30" spans="1:6" x14ac:dyDescent="0.3">
      <c r="A30" t="s">
        <v>598</v>
      </c>
      <c r="B30" t="s">
        <v>654</v>
      </c>
      <c r="C30" t="s">
        <v>298</v>
      </c>
      <c r="D30" t="s">
        <v>507</v>
      </c>
      <c r="E30" t="s">
        <v>305</v>
      </c>
      <c r="F30" t="s">
        <v>441</v>
      </c>
    </row>
    <row r="31" spans="1:6" x14ac:dyDescent="0.3">
      <c r="A31" t="s">
        <v>599</v>
      </c>
      <c r="B31" t="s">
        <v>656</v>
      </c>
      <c r="C31" t="s">
        <v>299</v>
      </c>
      <c r="D31" t="s">
        <v>519</v>
      </c>
      <c r="E31" t="s">
        <v>296</v>
      </c>
      <c r="F31" t="s">
        <v>432</v>
      </c>
    </row>
    <row r="32" spans="1:6" x14ac:dyDescent="0.3">
      <c r="A32" t="s">
        <v>600</v>
      </c>
      <c r="B32" t="s">
        <v>657</v>
      </c>
      <c r="C32" t="s">
        <v>299</v>
      </c>
      <c r="D32" t="s">
        <v>519</v>
      </c>
      <c r="E32" t="s">
        <v>297</v>
      </c>
      <c r="F32" t="s">
        <v>433</v>
      </c>
    </row>
    <row r="33" spans="1:6" x14ac:dyDescent="0.3">
      <c r="A33" t="s">
        <v>601</v>
      </c>
      <c r="B33" t="s">
        <v>658</v>
      </c>
      <c r="C33" t="s">
        <v>299</v>
      </c>
      <c r="D33" t="s">
        <v>519</v>
      </c>
      <c r="E33" t="s">
        <v>298</v>
      </c>
      <c r="F33" t="s">
        <v>434</v>
      </c>
    </row>
    <row r="34" spans="1:6" x14ac:dyDescent="0.3">
      <c r="A34" t="s">
        <v>602</v>
      </c>
      <c r="B34" t="s">
        <v>659</v>
      </c>
      <c r="C34" t="s">
        <v>299</v>
      </c>
      <c r="D34" t="s">
        <v>519</v>
      </c>
      <c r="E34" t="s">
        <v>299</v>
      </c>
      <c r="F34" t="s">
        <v>435</v>
      </c>
    </row>
    <row r="35" spans="1:6" x14ac:dyDescent="0.3">
      <c r="A35" t="s">
        <v>603</v>
      </c>
      <c r="B35" t="s">
        <v>660</v>
      </c>
      <c r="C35" t="s">
        <v>299</v>
      </c>
      <c r="D35" t="s">
        <v>519</v>
      </c>
      <c r="E35" t="s">
        <v>300</v>
      </c>
      <c r="F35" t="s">
        <v>436</v>
      </c>
    </row>
    <row r="36" spans="1:6" x14ac:dyDescent="0.3">
      <c r="A36" t="s">
        <v>604</v>
      </c>
      <c r="B36" t="s">
        <v>661</v>
      </c>
      <c r="C36" t="s">
        <v>299</v>
      </c>
      <c r="D36" t="s">
        <v>519</v>
      </c>
      <c r="E36" t="s">
        <v>301</v>
      </c>
      <c r="F36" t="s">
        <v>437</v>
      </c>
    </row>
    <row r="37" spans="1:6" x14ac:dyDescent="0.3">
      <c r="A37" t="s">
        <v>605</v>
      </c>
      <c r="B37" t="s">
        <v>662</v>
      </c>
      <c r="C37" t="s">
        <v>299</v>
      </c>
      <c r="D37" t="s">
        <v>519</v>
      </c>
      <c r="E37" t="s">
        <v>302</v>
      </c>
      <c r="F37" t="s">
        <v>438</v>
      </c>
    </row>
    <row r="38" spans="1:6" x14ac:dyDescent="0.3">
      <c r="A38" t="s">
        <v>606</v>
      </c>
      <c r="B38" t="s">
        <v>663</v>
      </c>
      <c r="C38" t="s">
        <v>299</v>
      </c>
      <c r="D38" t="s">
        <v>519</v>
      </c>
      <c r="E38" t="s">
        <v>303</v>
      </c>
      <c r="F38" t="s">
        <v>439</v>
      </c>
    </row>
    <row r="39" spans="1:6" x14ac:dyDescent="0.3">
      <c r="A39" t="s">
        <v>607</v>
      </c>
      <c r="B39" t="s">
        <v>664</v>
      </c>
      <c r="C39" t="s">
        <v>299</v>
      </c>
      <c r="D39" t="s">
        <v>519</v>
      </c>
      <c r="E39" t="s">
        <v>304</v>
      </c>
      <c r="F39" t="s">
        <v>440</v>
      </c>
    </row>
    <row r="40" spans="1:6" x14ac:dyDescent="0.3">
      <c r="A40" t="s">
        <v>608</v>
      </c>
      <c r="B40" t="s">
        <v>665</v>
      </c>
      <c r="C40" t="s">
        <v>299</v>
      </c>
      <c r="D40" t="s">
        <v>519</v>
      </c>
      <c r="E40" t="s">
        <v>305</v>
      </c>
      <c r="F40" t="s">
        <v>441</v>
      </c>
    </row>
    <row r="41" spans="1:6" x14ac:dyDescent="0.3">
      <c r="A41" t="s">
        <v>609</v>
      </c>
      <c r="B41" t="s">
        <v>667</v>
      </c>
      <c r="C41" t="s">
        <v>300</v>
      </c>
      <c r="D41" t="s">
        <v>528</v>
      </c>
      <c r="E41" t="s">
        <v>295</v>
      </c>
      <c r="F41" t="s">
        <v>431</v>
      </c>
    </row>
    <row r="42" spans="1:6" x14ac:dyDescent="0.3">
      <c r="A42" t="s">
        <v>610</v>
      </c>
      <c r="B42" t="s">
        <v>668</v>
      </c>
      <c r="C42" t="s">
        <v>300</v>
      </c>
      <c r="D42" t="s">
        <v>528</v>
      </c>
      <c r="E42" t="s">
        <v>296</v>
      </c>
      <c r="F42" t="s">
        <v>432</v>
      </c>
    </row>
    <row r="43" spans="1:6" x14ac:dyDescent="0.3">
      <c r="A43" t="s">
        <v>611</v>
      </c>
      <c r="B43" t="s">
        <v>669</v>
      </c>
      <c r="C43" t="s">
        <v>300</v>
      </c>
      <c r="D43" t="s">
        <v>528</v>
      </c>
      <c r="E43" t="s">
        <v>297</v>
      </c>
      <c r="F43" t="s">
        <v>433</v>
      </c>
    </row>
    <row r="44" spans="1:6" x14ac:dyDescent="0.3">
      <c r="A44" t="s">
        <v>612</v>
      </c>
      <c r="B44" t="s">
        <v>670</v>
      </c>
      <c r="C44" t="s">
        <v>300</v>
      </c>
      <c r="D44" t="s">
        <v>528</v>
      </c>
      <c r="E44" t="s">
        <v>298</v>
      </c>
      <c r="F44" t="s">
        <v>434</v>
      </c>
    </row>
    <row r="45" spans="1:6" x14ac:dyDescent="0.3">
      <c r="A45" t="s">
        <v>613</v>
      </c>
      <c r="B45" t="s">
        <v>671</v>
      </c>
      <c r="C45" t="s">
        <v>300</v>
      </c>
      <c r="D45" t="s">
        <v>528</v>
      </c>
      <c r="E45" t="s">
        <v>299</v>
      </c>
      <c r="F45" t="s">
        <v>435</v>
      </c>
    </row>
    <row r="46" spans="1:6" x14ac:dyDescent="0.3">
      <c r="A46" t="s">
        <v>614</v>
      </c>
      <c r="B46" t="s">
        <v>672</v>
      </c>
      <c r="C46" t="s">
        <v>300</v>
      </c>
      <c r="D46" t="s">
        <v>528</v>
      </c>
      <c r="E46" t="s">
        <v>300</v>
      </c>
      <c r="F46" t="s">
        <v>436</v>
      </c>
    </row>
    <row r="47" spans="1:6" x14ac:dyDescent="0.3">
      <c r="A47" t="s">
        <v>615</v>
      </c>
      <c r="B47" t="s">
        <v>673</v>
      </c>
      <c r="C47" t="s">
        <v>300</v>
      </c>
      <c r="D47" t="s">
        <v>528</v>
      </c>
      <c r="E47" t="s">
        <v>301</v>
      </c>
      <c r="F47" t="s">
        <v>437</v>
      </c>
    </row>
    <row r="48" spans="1:6" x14ac:dyDescent="0.3">
      <c r="A48" t="s">
        <v>616</v>
      </c>
      <c r="B48" t="s">
        <v>674</v>
      </c>
      <c r="C48" t="s">
        <v>300</v>
      </c>
      <c r="D48" t="s">
        <v>528</v>
      </c>
      <c r="E48" t="s">
        <v>302</v>
      </c>
      <c r="F48" t="s">
        <v>438</v>
      </c>
    </row>
    <row r="49" spans="1:6" x14ac:dyDescent="0.3">
      <c r="A49" t="s">
        <v>617</v>
      </c>
      <c r="B49" t="s">
        <v>675</v>
      </c>
      <c r="C49" t="s">
        <v>300</v>
      </c>
      <c r="D49" t="s">
        <v>528</v>
      </c>
      <c r="E49" t="s">
        <v>304</v>
      </c>
      <c r="F49" t="s">
        <v>440</v>
      </c>
    </row>
    <row r="50" spans="1:6" x14ac:dyDescent="0.3">
      <c r="A50" t="s">
        <v>618</v>
      </c>
      <c r="B50" t="s">
        <v>676</v>
      </c>
      <c r="C50" t="s">
        <v>300</v>
      </c>
      <c r="D50" t="s">
        <v>528</v>
      </c>
      <c r="E50" t="s">
        <v>305</v>
      </c>
      <c r="F50" t="s">
        <v>441</v>
      </c>
    </row>
    <row r="51" spans="1:6" x14ac:dyDescent="0.3">
      <c r="A51" t="s">
        <v>619</v>
      </c>
      <c r="B51" t="s">
        <v>678</v>
      </c>
      <c r="C51" t="s">
        <v>301</v>
      </c>
      <c r="D51" t="s">
        <v>541</v>
      </c>
      <c r="E51" t="s">
        <v>296</v>
      </c>
      <c r="F51" t="s">
        <v>432</v>
      </c>
    </row>
    <row r="52" spans="1:6" x14ac:dyDescent="0.3">
      <c r="A52" t="s">
        <v>620</v>
      </c>
      <c r="B52" t="s">
        <v>679</v>
      </c>
      <c r="C52" t="s">
        <v>301</v>
      </c>
      <c r="D52" t="s">
        <v>541</v>
      </c>
      <c r="E52" t="s">
        <v>300</v>
      </c>
      <c r="F52" t="s">
        <v>436</v>
      </c>
    </row>
    <row r="53" spans="1:6" x14ac:dyDescent="0.3">
      <c r="A53" t="s">
        <v>621</v>
      </c>
      <c r="B53" t="s">
        <v>680</v>
      </c>
      <c r="C53" t="s">
        <v>301</v>
      </c>
      <c r="D53" t="s">
        <v>541</v>
      </c>
      <c r="E53" t="s">
        <v>303</v>
      </c>
      <c r="F53" t="s">
        <v>439</v>
      </c>
    </row>
    <row r="54" spans="1:6" x14ac:dyDescent="0.3">
      <c r="A54" t="s">
        <v>622</v>
      </c>
      <c r="B54" t="s">
        <v>681</v>
      </c>
      <c r="C54" t="s">
        <v>301</v>
      </c>
      <c r="D54" t="s">
        <v>541</v>
      </c>
      <c r="E54" t="s">
        <v>305</v>
      </c>
      <c r="F54" t="s">
        <v>441</v>
      </c>
    </row>
    <row r="55" spans="1:6" x14ac:dyDescent="0.3">
      <c r="A55" t="s">
        <v>623</v>
      </c>
      <c r="B55" t="s">
        <v>683</v>
      </c>
      <c r="C55" t="s">
        <v>302</v>
      </c>
      <c r="D55" t="s">
        <v>552</v>
      </c>
      <c r="E55" t="s">
        <v>306</v>
      </c>
      <c r="F55" t="s">
        <v>553</v>
      </c>
    </row>
    <row r="56" spans="1:6" x14ac:dyDescent="0.3">
      <c r="A56" t="s">
        <v>780</v>
      </c>
      <c r="B56" t="s">
        <v>624</v>
      </c>
      <c r="C56" t="s">
        <v>295</v>
      </c>
      <c r="D56" t="s">
        <v>430</v>
      </c>
      <c r="E56" t="s">
        <v>294</v>
      </c>
      <c r="F56" t="s">
        <v>569</v>
      </c>
    </row>
    <row r="57" spans="1:6" x14ac:dyDescent="0.3">
      <c r="A57" t="s">
        <v>781</v>
      </c>
      <c r="B57" t="s">
        <v>636</v>
      </c>
      <c r="C57" t="s">
        <v>296</v>
      </c>
      <c r="D57" t="s">
        <v>442</v>
      </c>
      <c r="E57" t="s">
        <v>294</v>
      </c>
      <c r="F57" t="s">
        <v>569</v>
      </c>
    </row>
    <row r="58" spans="1:6" x14ac:dyDescent="0.3">
      <c r="A58" t="s">
        <v>782</v>
      </c>
      <c r="B58" t="s">
        <v>640</v>
      </c>
      <c r="C58" t="s">
        <v>297</v>
      </c>
      <c r="D58" t="s">
        <v>443</v>
      </c>
      <c r="E58" t="s">
        <v>294</v>
      </c>
      <c r="F58" t="s">
        <v>569</v>
      </c>
    </row>
    <row r="59" spans="1:6" x14ac:dyDescent="0.3">
      <c r="A59" t="s">
        <v>783</v>
      </c>
      <c r="B59" t="s">
        <v>643</v>
      </c>
      <c r="C59" t="s">
        <v>298</v>
      </c>
      <c r="D59" t="s">
        <v>507</v>
      </c>
      <c r="E59" t="s">
        <v>294</v>
      </c>
      <c r="F59" t="s">
        <v>569</v>
      </c>
    </row>
    <row r="60" spans="1:6" x14ac:dyDescent="0.3">
      <c r="A60" t="s">
        <v>784</v>
      </c>
      <c r="B60" t="s">
        <v>655</v>
      </c>
      <c r="C60" t="s">
        <v>299</v>
      </c>
      <c r="D60" t="s">
        <v>519</v>
      </c>
      <c r="E60" t="s">
        <v>294</v>
      </c>
      <c r="F60" t="s">
        <v>569</v>
      </c>
    </row>
    <row r="61" spans="1:6" x14ac:dyDescent="0.3">
      <c r="A61" t="s">
        <v>785</v>
      </c>
      <c r="B61" t="s">
        <v>666</v>
      </c>
      <c r="C61" t="s">
        <v>300</v>
      </c>
      <c r="D61" t="s">
        <v>528</v>
      </c>
      <c r="E61" t="s">
        <v>294</v>
      </c>
      <c r="F61" t="s">
        <v>569</v>
      </c>
    </row>
    <row r="62" spans="1:6" x14ac:dyDescent="0.3">
      <c r="A62" t="s">
        <v>786</v>
      </c>
      <c r="B62" t="s">
        <v>677</v>
      </c>
      <c r="C62" t="s">
        <v>301</v>
      </c>
      <c r="D62" t="s">
        <v>541</v>
      </c>
      <c r="E62" t="s">
        <v>294</v>
      </c>
      <c r="F62" t="s">
        <v>569</v>
      </c>
    </row>
    <row r="63" spans="1:6" x14ac:dyDescent="0.3">
      <c r="A63" t="s">
        <v>787</v>
      </c>
      <c r="B63" t="s">
        <v>682</v>
      </c>
      <c r="C63" t="s">
        <v>302</v>
      </c>
      <c r="D63" t="s">
        <v>552</v>
      </c>
      <c r="E63" t="s">
        <v>294</v>
      </c>
      <c r="F63" t="s">
        <v>569</v>
      </c>
    </row>
    <row r="64" spans="1:6" x14ac:dyDescent="0.3">
      <c r="A64" t="s">
        <v>571</v>
      </c>
      <c r="B64" t="s">
        <v>571</v>
      </c>
      <c r="C64" t="s">
        <v>571</v>
      </c>
      <c r="D64" t="s">
        <v>571</v>
      </c>
      <c r="E64" t="s">
        <v>571</v>
      </c>
      <c r="F64" t="s">
        <v>571</v>
      </c>
    </row>
    <row r="65" spans="1:1" x14ac:dyDescent="0.3">
      <c r="A65" t="s">
        <v>444</v>
      </c>
    </row>
    <row r="330" ht="13" customHeight="1" x14ac:dyDescent="0.3"/>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8E4F-AE8F-4E0A-9C74-5F16135BE558}">
  <dimension ref="A3:K38"/>
  <sheetViews>
    <sheetView workbookViewId="0">
      <selection activeCell="H29" sqref="H29"/>
    </sheetView>
  </sheetViews>
  <sheetFormatPr defaultRowHeight="14" x14ac:dyDescent="0.3"/>
  <cols>
    <col min="1" max="1" width="17.33203125" bestFit="1" customWidth="1"/>
    <col min="2" max="2" width="17.25" bestFit="1" customWidth="1"/>
    <col min="3" max="3" width="16" bestFit="1" customWidth="1"/>
    <col min="4" max="4" width="11.08203125" bestFit="1" customWidth="1"/>
    <col min="5" max="5" width="7.08203125" bestFit="1" customWidth="1"/>
    <col min="6" max="6" width="17.25" bestFit="1" customWidth="1"/>
    <col min="7" max="7" width="12.08203125" bestFit="1" customWidth="1"/>
    <col min="8" max="8" width="7.08203125" bestFit="1" customWidth="1"/>
    <col min="9" max="9" width="24.5" bestFit="1" customWidth="1"/>
    <col min="10" max="10" width="11" bestFit="1" customWidth="1"/>
    <col min="11" max="11" width="5.5" bestFit="1" customWidth="1"/>
  </cols>
  <sheetData>
    <row r="3" spans="1:11" x14ac:dyDescent="0.3">
      <c r="A3" s="15" t="s">
        <v>445</v>
      </c>
      <c r="C3" s="15" t="s">
        <v>446</v>
      </c>
      <c r="D3" s="15" t="s">
        <v>447</v>
      </c>
    </row>
    <row r="4" spans="1:11" x14ac:dyDescent="0.3">
      <c r="C4" t="s">
        <v>295</v>
      </c>
      <c r="D4" t="s">
        <v>296</v>
      </c>
      <c r="E4" t="s">
        <v>297</v>
      </c>
      <c r="F4" t="s">
        <v>298</v>
      </c>
      <c r="G4" t="s">
        <v>299</v>
      </c>
      <c r="H4" t="s">
        <v>300</v>
      </c>
      <c r="I4" t="s">
        <v>301</v>
      </c>
      <c r="J4" t="s">
        <v>302</v>
      </c>
      <c r="K4" t="s">
        <v>444</v>
      </c>
    </row>
    <row r="5" spans="1:11" x14ac:dyDescent="0.3">
      <c r="A5" s="15" t="s">
        <v>448</v>
      </c>
      <c r="B5" s="15" t="s">
        <v>449</v>
      </c>
      <c r="C5" t="s">
        <v>430</v>
      </c>
      <c r="D5" t="s">
        <v>442</v>
      </c>
      <c r="E5" t="s">
        <v>443</v>
      </c>
      <c r="F5" t="s">
        <v>507</v>
      </c>
      <c r="G5" t="s">
        <v>519</v>
      </c>
      <c r="H5" t="s">
        <v>528</v>
      </c>
      <c r="I5" t="s">
        <v>541</v>
      </c>
      <c r="J5" t="s">
        <v>552</v>
      </c>
    </row>
    <row r="6" spans="1:11" x14ac:dyDescent="0.3">
      <c r="A6" t="s">
        <v>294</v>
      </c>
      <c r="B6" t="s">
        <v>569</v>
      </c>
      <c r="C6" s="16">
        <v>21</v>
      </c>
      <c r="D6" s="16">
        <v>24</v>
      </c>
      <c r="E6" s="16">
        <v>18</v>
      </c>
      <c r="F6" s="16">
        <v>19</v>
      </c>
      <c r="G6" s="16">
        <v>15</v>
      </c>
      <c r="H6" s="16">
        <v>19</v>
      </c>
      <c r="I6" s="16">
        <v>16</v>
      </c>
      <c r="J6" s="16">
        <v>21</v>
      </c>
      <c r="K6" s="16">
        <v>153</v>
      </c>
    </row>
    <row r="7" spans="1:11" x14ac:dyDescent="0.3">
      <c r="A7" t="s">
        <v>295</v>
      </c>
      <c r="B7" t="s">
        <v>431</v>
      </c>
      <c r="C7" s="16">
        <v>9</v>
      </c>
      <c r="D7" s="16">
        <v>10</v>
      </c>
      <c r="E7" s="16"/>
      <c r="F7" s="16">
        <v>8</v>
      </c>
      <c r="G7" s="16"/>
      <c r="H7" s="16">
        <v>8</v>
      </c>
      <c r="I7" s="16"/>
      <c r="J7" s="16"/>
      <c r="K7" s="16">
        <v>35</v>
      </c>
    </row>
    <row r="8" spans="1:11" x14ac:dyDescent="0.3">
      <c r="A8" t="s">
        <v>296</v>
      </c>
      <c r="B8" t="s">
        <v>432</v>
      </c>
      <c r="C8" s="16">
        <v>6</v>
      </c>
      <c r="D8" s="16">
        <v>6</v>
      </c>
      <c r="E8" s="16">
        <v>6</v>
      </c>
      <c r="F8" s="16">
        <v>6</v>
      </c>
      <c r="G8" s="16">
        <v>6</v>
      </c>
      <c r="H8" s="16">
        <v>6</v>
      </c>
      <c r="I8" s="16">
        <v>6</v>
      </c>
      <c r="J8" s="16"/>
      <c r="K8" s="16">
        <v>42</v>
      </c>
    </row>
    <row r="9" spans="1:11" x14ac:dyDescent="0.3">
      <c r="A9" t="s">
        <v>297</v>
      </c>
      <c r="B9" t="s">
        <v>433</v>
      </c>
      <c r="C9" s="16">
        <v>1</v>
      </c>
      <c r="D9" s="16"/>
      <c r="E9" s="16"/>
      <c r="F9" s="16">
        <v>1</v>
      </c>
      <c r="G9" s="16">
        <v>1</v>
      </c>
      <c r="H9" s="16">
        <v>1</v>
      </c>
      <c r="I9" s="16"/>
      <c r="J9" s="16"/>
      <c r="K9" s="16">
        <v>4</v>
      </c>
    </row>
    <row r="10" spans="1:11" x14ac:dyDescent="0.3">
      <c r="A10" t="s">
        <v>298</v>
      </c>
      <c r="B10" t="s">
        <v>434</v>
      </c>
      <c r="C10" s="16">
        <v>3</v>
      </c>
      <c r="D10" s="16"/>
      <c r="E10" s="16"/>
      <c r="F10" s="16">
        <v>3</v>
      </c>
      <c r="G10" s="16">
        <v>3</v>
      </c>
      <c r="H10" s="16">
        <v>3</v>
      </c>
      <c r="I10" s="16"/>
      <c r="J10" s="16"/>
      <c r="K10" s="16">
        <v>12</v>
      </c>
    </row>
    <row r="11" spans="1:11" x14ac:dyDescent="0.3">
      <c r="A11" t="s">
        <v>299</v>
      </c>
      <c r="B11" t="s">
        <v>435</v>
      </c>
      <c r="C11" s="16">
        <v>1</v>
      </c>
      <c r="D11" s="16"/>
      <c r="E11" s="16"/>
      <c r="F11" s="16">
        <v>1</v>
      </c>
      <c r="G11" s="16">
        <v>1</v>
      </c>
      <c r="H11" s="16">
        <v>1</v>
      </c>
      <c r="I11" s="16"/>
      <c r="J11" s="16"/>
      <c r="K11" s="16">
        <v>4</v>
      </c>
    </row>
    <row r="12" spans="1:11" x14ac:dyDescent="0.3">
      <c r="A12" t="s">
        <v>300</v>
      </c>
      <c r="B12" t="s">
        <v>436</v>
      </c>
      <c r="C12" s="16">
        <v>4</v>
      </c>
      <c r="D12" s="16">
        <v>4</v>
      </c>
      <c r="E12" s="16">
        <v>3</v>
      </c>
      <c r="F12" s="16">
        <v>4</v>
      </c>
      <c r="G12" s="16">
        <v>4</v>
      </c>
      <c r="H12" s="16">
        <v>4</v>
      </c>
      <c r="I12" s="16">
        <v>4</v>
      </c>
      <c r="J12" s="16"/>
      <c r="K12" s="16">
        <v>27</v>
      </c>
    </row>
    <row r="13" spans="1:11" x14ac:dyDescent="0.3">
      <c r="A13" t="s">
        <v>301</v>
      </c>
      <c r="B13" t="s">
        <v>437</v>
      </c>
      <c r="C13" s="16">
        <v>2</v>
      </c>
      <c r="D13" s="16"/>
      <c r="E13" s="16"/>
      <c r="F13" s="16">
        <v>2</v>
      </c>
      <c r="G13" s="16">
        <v>2</v>
      </c>
      <c r="H13" s="16">
        <v>2</v>
      </c>
      <c r="I13" s="16"/>
      <c r="J13" s="16"/>
      <c r="K13" s="16">
        <v>8</v>
      </c>
    </row>
    <row r="14" spans="1:11" x14ac:dyDescent="0.3">
      <c r="A14" t="s">
        <v>302</v>
      </c>
      <c r="B14" t="s">
        <v>438</v>
      </c>
      <c r="C14" s="16">
        <v>2</v>
      </c>
      <c r="D14" s="16"/>
      <c r="E14" s="16"/>
      <c r="F14" s="16">
        <v>2</v>
      </c>
      <c r="G14" s="16">
        <v>2</v>
      </c>
      <c r="H14" s="16">
        <v>2</v>
      </c>
      <c r="I14" s="16"/>
      <c r="J14" s="16"/>
      <c r="K14" s="16">
        <v>8</v>
      </c>
    </row>
    <row r="15" spans="1:11" x14ac:dyDescent="0.3">
      <c r="A15" t="s">
        <v>303</v>
      </c>
      <c r="B15" t="s">
        <v>439</v>
      </c>
      <c r="C15" s="16">
        <v>2</v>
      </c>
      <c r="D15" s="16"/>
      <c r="E15" s="16"/>
      <c r="F15" s="16">
        <v>2</v>
      </c>
      <c r="G15" s="16">
        <v>2</v>
      </c>
      <c r="H15" s="16"/>
      <c r="I15" s="16">
        <v>2</v>
      </c>
      <c r="J15" s="16"/>
      <c r="K15" s="16">
        <v>8</v>
      </c>
    </row>
    <row r="16" spans="1:11" x14ac:dyDescent="0.3">
      <c r="A16" t="s">
        <v>304</v>
      </c>
      <c r="B16" t="s">
        <v>440</v>
      </c>
      <c r="C16" s="16">
        <v>3</v>
      </c>
      <c r="D16" s="16"/>
      <c r="E16" s="16"/>
      <c r="F16" s="16">
        <v>3</v>
      </c>
      <c r="G16" s="16">
        <v>3</v>
      </c>
      <c r="H16" s="16">
        <v>3</v>
      </c>
      <c r="I16" s="16"/>
      <c r="J16" s="16"/>
      <c r="K16" s="16">
        <v>12</v>
      </c>
    </row>
    <row r="17" spans="1:11" x14ac:dyDescent="0.3">
      <c r="A17" t="s">
        <v>305</v>
      </c>
      <c r="B17" t="s">
        <v>441</v>
      </c>
      <c r="C17" s="16">
        <v>2</v>
      </c>
      <c r="D17" s="16"/>
      <c r="E17" s="16"/>
      <c r="F17" s="16">
        <v>2</v>
      </c>
      <c r="G17" s="16">
        <v>2</v>
      </c>
      <c r="H17" s="16">
        <v>2</v>
      </c>
      <c r="I17" s="16">
        <v>2</v>
      </c>
      <c r="J17" s="16"/>
      <c r="K17" s="16">
        <v>10</v>
      </c>
    </row>
    <row r="18" spans="1:11" x14ac:dyDescent="0.3">
      <c r="A18" t="s">
        <v>306</v>
      </c>
      <c r="B18" t="s">
        <v>553</v>
      </c>
      <c r="C18" s="16"/>
      <c r="D18" s="16"/>
      <c r="E18" s="16"/>
      <c r="F18" s="16"/>
      <c r="G18" s="16"/>
      <c r="H18" s="16"/>
      <c r="I18" s="16"/>
      <c r="J18" s="16">
        <v>5</v>
      </c>
      <c r="K18" s="16">
        <v>5</v>
      </c>
    </row>
    <row r="19" spans="1:11" x14ac:dyDescent="0.3">
      <c r="A19" t="s">
        <v>444</v>
      </c>
      <c r="C19" s="16">
        <v>56</v>
      </c>
      <c r="D19" s="16">
        <v>44</v>
      </c>
      <c r="E19" s="16">
        <v>27</v>
      </c>
      <c r="F19" s="16">
        <v>53</v>
      </c>
      <c r="G19" s="16">
        <v>41</v>
      </c>
      <c r="H19" s="16">
        <v>51</v>
      </c>
      <c r="I19" s="16">
        <v>30</v>
      </c>
      <c r="J19" s="16">
        <v>26</v>
      </c>
      <c r="K19" s="16">
        <v>328</v>
      </c>
    </row>
    <row r="21" spans="1:11" x14ac:dyDescent="0.3">
      <c r="C21">
        <f>COUNTA(C7:C18)*C6+SUM(C7:C18)</f>
        <v>266</v>
      </c>
      <c r="D21">
        <f t="shared" ref="D21:J21" si="0">COUNTA(D7:D18)*D6+SUM(D7:D18)</f>
        <v>92</v>
      </c>
      <c r="E21">
        <f t="shared" si="0"/>
        <v>45</v>
      </c>
      <c r="F21">
        <f t="shared" si="0"/>
        <v>243</v>
      </c>
      <c r="G21">
        <f t="shared" si="0"/>
        <v>176</v>
      </c>
      <c r="H21">
        <f t="shared" si="0"/>
        <v>222</v>
      </c>
      <c r="I21">
        <f t="shared" si="0"/>
        <v>78</v>
      </c>
      <c r="J21">
        <f t="shared" si="0"/>
        <v>26</v>
      </c>
      <c r="K21">
        <f>SUM(C21:J21)</f>
        <v>1148</v>
      </c>
    </row>
    <row r="23" spans="1:11" x14ac:dyDescent="0.3">
      <c r="A23" s="17" t="s">
        <v>445</v>
      </c>
      <c r="B23" s="17"/>
      <c r="C23" s="17" t="s">
        <v>446</v>
      </c>
      <c r="D23" s="17" t="s">
        <v>447</v>
      </c>
      <c r="E23" s="17"/>
      <c r="F23" s="17"/>
      <c r="G23" s="17"/>
      <c r="H23" s="17"/>
      <c r="I23" s="17"/>
      <c r="J23" s="17"/>
      <c r="K23" s="17"/>
    </row>
    <row r="24" spans="1:11" x14ac:dyDescent="0.3">
      <c r="A24" s="17"/>
      <c r="B24" s="17"/>
      <c r="C24" s="17" t="s">
        <v>295</v>
      </c>
      <c r="D24" s="17" t="s">
        <v>296</v>
      </c>
      <c r="E24" s="17" t="s">
        <v>297</v>
      </c>
      <c r="F24" s="17" t="s">
        <v>298</v>
      </c>
      <c r="G24" s="17" t="s">
        <v>299</v>
      </c>
      <c r="H24" s="17" t="s">
        <v>300</v>
      </c>
      <c r="I24" s="17" t="s">
        <v>301</v>
      </c>
      <c r="J24" s="17" t="s">
        <v>302</v>
      </c>
      <c r="K24" s="17" t="s">
        <v>444</v>
      </c>
    </row>
    <row r="25" spans="1:11" x14ac:dyDescent="0.3">
      <c r="A25" s="18" t="s">
        <v>448</v>
      </c>
      <c r="B25" s="18" t="s">
        <v>449</v>
      </c>
      <c r="C25" s="18" t="s">
        <v>430</v>
      </c>
      <c r="D25" s="18" t="s">
        <v>442</v>
      </c>
      <c r="E25" s="18" t="s">
        <v>443</v>
      </c>
      <c r="F25" s="18" t="s">
        <v>507</v>
      </c>
      <c r="G25" s="18" t="s">
        <v>519</v>
      </c>
      <c r="H25" s="18" t="s">
        <v>528</v>
      </c>
      <c r="I25" s="18" t="s">
        <v>541</v>
      </c>
      <c r="J25" s="18" t="s">
        <v>552</v>
      </c>
      <c r="K25" s="18"/>
    </row>
    <row r="26" spans="1:11" x14ac:dyDescent="0.3">
      <c r="A26" s="19" t="s">
        <v>295</v>
      </c>
      <c r="B26" t="s">
        <v>431</v>
      </c>
      <c r="C26" s="16">
        <v>30</v>
      </c>
      <c r="D26" s="16">
        <v>34</v>
      </c>
      <c r="E26" s="16"/>
      <c r="F26" s="16">
        <v>27</v>
      </c>
      <c r="G26" s="16"/>
      <c r="H26" s="16">
        <v>27</v>
      </c>
      <c r="I26" s="16"/>
      <c r="J26" s="16"/>
      <c r="K26" s="16">
        <v>118</v>
      </c>
    </row>
    <row r="27" spans="1:11" x14ac:dyDescent="0.3">
      <c r="A27" s="19" t="s">
        <v>296</v>
      </c>
      <c r="B27" t="s">
        <v>432</v>
      </c>
      <c r="C27" s="16">
        <v>27</v>
      </c>
      <c r="D27" s="16">
        <v>30</v>
      </c>
      <c r="E27" s="16">
        <v>24</v>
      </c>
      <c r="F27" s="16">
        <v>25</v>
      </c>
      <c r="G27" s="16">
        <v>21</v>
      </c>
      <c r="H27" s="16">
        <v>25</v>
      </c>
      <c r="I27" s="16">
        <v>22</v>
      </c>
      <c r="J27" s="16"/>
      <c r="K27" s="16">
        <v>174</v>
      </c>
    </row>
    <row r="28" spans="1:11" x14ac:dyDescent="0.3">
      <c r="A28" s="19" t="s">
        <v>297</v>
      </c>
      <c r="B28" t="s">
        <v>433</v>
      </c>
      <c r="C28" s="16">
        <v>22</v>
      </c>
      <c r="D28" s="16"/>
      <c r="E28" s="16"/>
      <c r="F28" s="16">
        <v>20</v>
      </c>
      <c r="G28" s="16">
        <v>16</v>
      </c>
      <c r="H28" s="16">
        <v>20</v>
      </c>
      <c r="I28" s="16"/>
      <c r="J28" s="16"/>
      <c r="K28" s="16">
        <v>78</v>
      </c>
    </row>
    <row r="29" spans="1:11" x14ac:dyDescent="0.3">
      <c r="A29" s="19" t="s">
        <v>298</v>
      </c>
      <c r="B29" t="s">
        <v>434</v>
      </c>
      <c r="C29" s="16">
        <v>24</v>
      </c>
      <c r="D29" s="16"/>
      <c r="E29" s="16"/>
      <c r="F29" s="16">
        <v>22</v>
      </c>
      <c r="G29" s="16">
        <v>18</v>
      </c>
      <c r="H29" s="16">
        <v>22</v>
      </c>
      <c r="I29" s="16"/>
      <c r="J29" s="16"/>
      <c r="K29" s="16">
        <v>86</v>
      </c>
    </row>
    <row r="30" spans="1:11" x14ac:dyDescent="0.3">
      <c r="A30" s="19" t="s">
        <v>299</v>
      </c>
      <c r="B30" t="s">
        <v>435</v>
      </c>
      <c r="C30" s="16">
        <v>22</v>
      </c>
      <c r="D30" s="16"/>
      <c r="E30" s="16"/>
      <c r="F30" s="16">
        <v>20</v>
      </c>
      <c r="G30" s="16">
        <v>16</v>
      </c>
      <c r="H30" s="16">
        <v>20</v>
      </c>
      <c r="I30" s="16"/>
      <c r="J30" s="16"/>
      <c r="K30" s="16">
        <v>78</v>
      </c>
    </row>
    <row r="31" spans="1:11" x14ac:dyDescent="0.3">
      <c r="A31" s="19" t="s">
        <v>300</v>
      </c>
      <c r="B31" t="s">
        <v>436</v>
      </c>
      <c r="C31" s="16">
        <v>25</v>
      </c>
      <c r="D31" s="16">
        <v>28</v>
      </c>
      <c r="E31" s="16">
        <v>21</v>
      </c>
      <c r="F31" s="16">
        <v>23</v>
      </c>
      <c r="G31" s="16">
        <v>19</v>
      </c>
      <c r="H31" s="16">
        <v>23</v>
      </c>
      <c r="I31" s="16">
        <v>20</v>
      </c>
      <c r="J31" s="16"/>
      <c r="K31" s="16">
        <v>159</v>
      </c>
    </row>
    <row r="32" spans="1:11" x14ac:dyDescent="0.3">
      <c r="A32" s="19" t="s">
        <v>301</v>
      </c>
      <c r="B32" t="s">
        <v>437</v>
      </c>
      <c r="C32" s="16">
        <v>23</v>
      </c>
      <c r="D32" s="16"/>
      <c r="E32" s="16"/>
      <c r="F32" s="16">
        <v>21</v>
      </c>
      <c r="G32" s="16">
        <v>17</v>
      </c>
      <c r="H32" s="16">
        <v>21</v>
      </c>
      <c r="I32" s="16"/>
      <c r="J32" s="16"/>
      <c r="K32" s="16">
        <v>82</v>
      </c>
    </row>
    <row r="33" spans="1:11" x14ac:dyDescent="0.3">
      <c r="A33" s="19" t="s">
        <v>302</v>
      </c>
      <c r="B33" t="s">
        <v>438</v>
      </c>
      <c r="C33" s="16">
        <v>23</v>
      </c>
      <c r="D33" s="16"/>
      <c r="E33" s="16"/>
      <c r="F33" s="16">
        <v>21</v>
      </c>
      <c r="G33" s="16">
        <v>17</v>
      </c>
      <c r="H33" s="16">
        <v>21</v>
      </c>
      <c r="I33" s="16"/>
      <c r="J33" s="16"/>
      <c r="K33" s="16">
        <v>82</v>
      </c>
    </row>
    <row r="34" spans="1:11" x14ac:dyDescent="0.3">
      <c r="A34" s="19" t="s">
        <v>303</v>
      </c>
      <c r="B34" t="s">
        <v>439</v>
      </c>
      <c r="C34" s="16">
        <v>23</v>
      </c>
      <c r="D34" s="16"/>
      <c r="E34" s="16"/>
      <c r="F34" s="16">
        <v>21</v>
      </c>
      <c r="G34" s="16">
        <v>17</v>
      </c>
      <c r="H34" s="16"/>
      <c r="I34" s="16">
        <v>18</v>
      </c>
      <c r="J34" s="16"/>
      <c r="K34" s="16">
        <v>79</v>
      </c>
    </row>
    <row r="35" spans="1:11" x14ac:dyDescent="0.3">
      <c r="A35" s="19" t="s">
        <v>304</v>
      </c>
      <c r="B35" t="s">
        <v>440</v>
      </c>
      <c r="C35" s="16">
        <v>24</v>
      </c>
      <c r="D35" s="16"/>
      <c r="E35" s="16"/>
      <c r="F35" s="16">
        <v>22</v>
      </c>
      <c r="G35" s="16">
        <v>18</v>
      </c>
      <c r="H35" s="16">
        <v>22</v>
      </c>
      <c r="I35" s="16"/>
      <c r="J35" s="16"/>
      <c r="K35" s="16">
        <v>86</v>
      </c>
    </row>
    <row r="36" spans="1:11" x14ac:dyDescent="0.3">
      <c r="A36" s="19" t="s">
        <v>305</v>
      </c>
      <c r="B36" t="s">
        <v>441</v>
      </c>
      <c r="C36" s="16">
        <v>23</v>
      </c>
      <c r="D36" s="16"/>
      <c r="E36" s="16"/>
      <c r="F36" s="16">
        <v>21</v>
      </c>
      <c r="G36" s="16">
        <v>17</v>
      </c>
      <c r="H36" s="16">
        <v>21</v>
      </c>
      <c r="I36" s="16">
        <v>18</v>
      </c>
      <c r="J36" s="16"/>
      <c r="K36" s="16">
        <v>100</v>
      </c>
    </row>
    <row r="37" spans="1:11" x14ac:dyDescent="0.3">
      <c r="A37" s="19" t="s">
        <v>306</v>
      </c>
      <c r="B37" t="s">
        <v>553</v>
      </c>
      <c r="C37" s="16"/>
      <c r="D37" s="16"/>
      <c r="E37" s="16"/>
      <c r="F37" s="16"/>
      <c r="G37" s="16"/>
      <c r="H37" s="16"/>
      <c r="I37" s="16"/>
      <c r="J37" s="16">
        <v>26</v>
      </c>
      <c r="K37" s="16">
        <v>26</v>
      </c>
    </row>
    <row r="38" spans="1:11" x14ac:dyDescent="0.3">
      <c r="A38" s="20" t="s">
        <v>444</v>
      </c>
      <c r="B38" s="20"/>
      <c r="C38" s="22">
        <v>266</v>
      </c>
      <c r="D38" s="22">
        <v>92</v>
      </c>
      <c r="E38" s="22">
        <v>45</v>
      </c>
      <c r="F38" s="22">
        <v>243</v>
      </c>
      <c r="G38" s="22">
        <v>176</v>
      </c>
      <c r="H38" s="22">
        <v>222</v>
      </c>
      <c r="I38" s="22">
        <v>78</v>
      </c>
      <c r="J38" s="22">
        <v>26</v>
      </c>
      <c r="K38" s="22">
        <v>1148</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54F1-8E16-457A-BEB6-149E8BF5A978}">
  <dimension ref="A3:E65"/>
  <sheetViews>
    <sheetView workbookViewId="0">
      <selection activeCell="H29" sqref="H29"/>
    </sheetView>
  </sheetViews>
  <sheetFormatPr defaultColWidth="9.25" defaultRowHeight="14" x14ac:dyDescent="0.3"/>
  <cols>
    <col min="1" max="1" width="16" bestFit="1" customWidth="1"/>
    <col min="2" max="2" width="43.75" bestFit="1" customWidth="1"/>
    <col min="3" max="3" width="16" bestFit="1" customWidth="1"/>
    <col min="4" max="4" width="17.25" bestFit="1" customWidth="1"/>
    <col min="5" max="5" width="17.33203125" bestFit="1" customWidth="1"/>
    <col min="6" max="6" width="17.25" bestFit="1" customWidth="1"/>
    <col min="7" max="7" width="17.33203125" bestFit="1" customWidth="1"/>
  </cols>
  <sheetData>
    <row r="3" spans="1:5" x14ac:dyDescent="0.3">
      <c r="A3" s="15" t="s">
        <v>446</v>
      </c>
      <c r="B3" s="15" t="s">
        <v>447</v>
      </c>
      <c r="C3" s="15" t="s">
        <v>448</v>
      </c>
      <c r="D3" s="15" t="s">
        <v>449</v>
      </c>
      <c r="E3" t="s">
        <v>445</v>
      </c>
    </row>
    <row r="4" spans="1:5" x14ac:dyDescent="0.3">
      <c r="A4" t="s">
        <v>295</v>
      </c>
      <c r="B4" t="s">
        <v>430</v>
      </c>
      <c r="C4" t="s">
        <v>294</v>
      </c>
      <c r="D4" t="s">
        <v>569</v>
      </c>
      <c r="E4" s="16">
        <v>21</v>
      </c>
    </row>
    <row r="5" spans="1:5" x14ac:dyDescent="0.3">
      <c r="C5" t="s">
        <v>295</v>
      </c>
      <c r="D5" t="s">
        <v>431</v>
      </c>
      <c r="E5" s="16">
        <v>9</v>
      </c>
    </row>
    <row r="6" spans="1:5" x14ac:dyDescent="0.3">
      <c r="C6" t="s">
        <v>296</v>
      </c>
      <c r="D6" t="s">
        <v>432</v>
      </c>
      <c r="E6" s="16">
        <v>6</v>
      </c>
    </row>
    <row r="7" spans="1:5" x14ac:dyDescent="0.3">
      <c r="C7" t="s">
        <v>297</v>
      </c>
      <c r="D7" t="s">
        <v>433</v>
      </c>
      <c r="E7" s="16">
        <v>1</v>
      </c>
    </row>
    <row r="8" spans="1:5" x14ac:dyDescent="0.3">
      <c r="C8" t="s">
        <v>298</v>
      </c>
      <c r="D8" t="s">
        <v>434</v>
      </c>
      <c r="E8" s="16">
        <v>3</v>
      </c>
    </row>
    <row r="9" spans="1:5" x14ac:dyDescent="0.3">
      <c r="C9" t="s">
        <v>299</v>
      </c>
      <c r="D9" t="s">
        <v>435</v>
      </c>
      <c r="E9" s="16">
        <v>1</v>
      </c>
    </row>
    <row r="10" spans="1:5" x14ac:dyDescent="0.3">
      <c r="C10" t="s">
        <v>300</v>
      </c>
      <c r="D10" t="s">
        <v>436</v>
      </c>
      <c r="E10" s="16">
        <v>4</v>
      </c>
    </row>
    <row r="11" spans="1:5" x14ac:dyDescent="0.3">
      <c r="C11" t="s">
        <v>301</v>
      </c>
      <c r="D11" t="s">
        <v>437</v>
      </c>
      <c r="E11" s="16">
        <v>2</v>
      </c>
    </row>
    <row r="12" spans="1:5" x14ac:dyDescent="0.3">
      <c r="C12" t="s">
        <v>302</v>
      </c>
      <c r="D12" t="s">
        <v>438</v>
      </c>
      <c r="E12" s="16">
        <v>2</v>
      </c>
    </row>
    <row r="13" spans="1:5" x14ac:dyDescent="0.3">
      <c r="C13" t="s">
        <v>303</v>
      </c>
      <c r="D13" t="s">
        <v>439</v>
      </c>
      <c r="E13" s="16">
        <v>2</v>
      </c>
    </row>
    <row r="14" spans="1:5" x14ac:dyDescent="0.3">
      <c r="C14" t="s">
        <v>304</v>
      </c>
      <c r="D14" t="s">
        <v>440</v>
      </c>
      <c r="E14" s="16">
        <v>3</v>
      </c>
    </row>
    <row r="15" spans="1:5" x14ac:dyDescent="0.3">
      <c r="C15" t="s">
        <v>305</v>
      </c>
      <c r="D15" t="s">
        <v>441</v>
      </c>
      <c r="E15" s="16">
        <v>2</v>
      </c>
    </row>
    <row r="16" spans="1:5" x14ac:dyDescent="0.3">
      <c r="A16" t="s">
        <v>296</v>
      </c>
      <c r="B16" t="s">
        <v>442</v>
      </c>
      <c r="C16" t="s">
        <v>294</v>
      </c>
      <c r="D16" t="s">
        <v>569</v>
      </c>
      <c r="E16" s="16">
        <v>24</v>
      </c>
    </row>
    <row r="17" spans="1:5" x14ac:dyDescent="0.3">
      <c r="C17" t="s">
        <v>295</v>
      </c>
      <c r="D17" t="s">
        <v>431</v>
      </c>
      <c r="E17" s="16">
        <v>10</v>
      </c>
    </row>
    <row r="18" spans="1:5" x14ac:dyDescent="0.3">
      <c r="C18" t="s">
        <v>296</v>
      </c>
      <c r="D18" t="s">
        <v>432</v>
      </c>
      <c r="E18" s="16">
        <v>6</v>
      </c>
    </row>
    <row r="19" spans="1:5" x14ac:dyDescent="0.3">
      <c r="C19" t="s">
        <v>300</v>
      </c>
      <c r="D19" t="s">
        <v>436</v>
      </c>
      <c r="E19" s="16">
        <v>4</v>
      </c>
    </row>
    <row r="20" spans="1:5" x14ac:dyDescent="0.3">
      <c r="A20" t="s">
        <v>297</v>
      </c>
      <c r="B20" t="s">
        <v>443</v>
      </c>
      <c r="C20" t="s">
        <v>294</v>
      </c>
      <c r="D20" t="s">
        <v>569</v>
      </c>
      <c r="E20" s="16">
        <v>18</v>
      </c>
    </row>
    <row r="21" spans="1:5" x14ac:dyDescent="0.3">
      <c r="C21" t="s">
        <v>296</v>
      </c>
      <c r="D21" t="s">
        <v>432</v>
      </c>
      <c r="E21" s="16">
        <v>6</v>
      </c>
    </row>
    <row r="22" spans="1:5" x14ac:dyDescent="0.3">
      <c r="C22" t="s">
        <v>300</v>
      </c>
      <c r="D22" t="s">
        <v>436</v>
      </c>
      <c r="E22" s="16">
        <v>3</v>
      </c>
    </row>
    <row r="23" spans="1:5" x14ac:dyDescent="0.3">
      <c r="A23" t="s">
        <v>298</v>
      </c>
      <c r="B23" t="s">
        <v>507</v>
      </c>
      <c r="C23" t="s">
        <v>294</v>
      </c>
      <c r="D23" t="s">
        <v>569</v>
      </c>
      <c r="E23" s="16">
        <v>19</v>
      </c>
    </row>
    <row r="24" spans="1:5" x14ac:dyDescent="0.3">
      <c r="C24" t="s">
        <v>295</v>
      </c>
      <c r="D24" t="s">
        <v>431</v>
      </c>
      <c r="E24" s="16">
        <v>8</v>
      </c>
    </row>
    <row r="25" spans="1:5" x14ac:dyDescent="0.3">
      <c r="C25" t="s">
        <v>296</v>
      </c>
      <c r="D25" t="s">
        <v>432</v>
      </c>
      <c r="E25" s="16">
        <v>6</v>
      </c>
    </row>
    <row r="26" spans="1:5" x14ac:dyDescent="0.3">
      <c r="C26" t="s">
        <v>297</v>
      </c>
      <c r="D26" t="s">
        <v>433</v>
      </c>
      <c r="E26" s="16">
        <v>1</v>
      </c>
    </row>
    <row r="27" spans="1:5" x14ac:dyDescent="0.3">
      <c r="C27" t="s">
        <v>298</v>
      </c>
      <c r="D27" t="s">
        <v>434</v>
      </c>
      <c r="E27" s="16">
        <v>3</v>
      </c>
    </row>
    <row r="28" spans="1:5" x14ac:dyDescent="0.3">
      <c r="C28" t="s">
        <v>299</v>
      </c>
      <c r="D28" t="s">
        <v>435</v>
      </c>
      <c r="E28" s="16">
        <v>1</v>
      </c>
    </row>
    <row r="29" spans="1:5" x14ac:dyDescent="0.3">
      <c r="C29" t="s">
        <v>300</v>
      </c>
      <c r="D29" t="s">
        <v>436</v>
      </c>
      <c r="E29" s="16">
        <v>4</v>
      </c>
    </row>
    <row r="30" spans="1:5" x14ac:dyDescent="0.3">
      <c r="C30" t="s">
        <v>301</v>
      </c>
      <c r="D30" t="s">
        <v>437</v>
      </c>
      <c r="E30" s="16">
        <v>2</v>
      </c>
    </row>
    <row r="31" spans="1:5" x14ac:dyDescent="0.3">
      <c r="C31" t="s">
        <v>302</v>
      </c>
      <c r="D31" t="s">
        <v>438</v>
      </c>
      <c r="E31" s="16">
        <v>2</v>
      </c>
    </row>
    <row r="32" spans="1:5" x14ac:dyDescent="0.3">
      <c r="C32" t="s">
        <v>303</v>
      </c>
      <c r="D32" t="s">
        <v>439</v>
      </c>
      <c r="E32" s="16">
        <v>2</v>
      </c>
    </row>
    <row r="33" spans="1:5" x14ac:dyDescent="0.3">
      <c r="C33" t="s">
        <v>304</v>
      </c>
      <c r="D33" t="s">
        <v>440</v>
      </c>
      <c r="E33" s="16">
        <v>3</v>
      </c>
    </row>
    <row r="34" spans="1:5" x14ac:dyDescent="0.3">
      <c r="C34" t="s">
        <v>305</v>
      </c>
      <c r="D34" t="s">
        <v>441</v>
      </c>
      <c r="E34" s="16">
        <v>2</v>
      </c>
    </row>
    <row r="35" spans="1:5" x14ac:dyDescent="0.3">
      <c r="A35" t="s">
        <v>299</v>
      </c>
      <c r="B35" t="s">
        <v>519</v>
      </c>
      <c r="C35" t="s">
        <v>294</v>
      </c>
      <c r="D35" t="s">
        <v>569</v>
      </c>
      <c r="E35" s="16">
        <v>15</v>
      </c>
    </row>
    <row r="36" spans="1:5" x14ac:dyDescent="0.3">
      <c r="C36" t="s">
        <v>296</v>
      </c>
      <c r="D36" t="s">
        <v>432</v>
      </c>
      <c r="E36" s="16">
        <v>6</v>
      </c>
    </row>
    <row r="37" spans="1:5" x14ac:dyDescent="0.3">
      <c r="C37" t="s">
        <v>297</v>
      </c>
      <c r="D37" t="s">
        <v>433</v>
      </c>
      <c r="E37" s="16">
        <v>1</v>
      </c>
    </row>
    <row r="38" spans="1:5" x14ac:dyDescent="0.3">
      <c r="C38" t="s">
        <v>298</v>
      </c>
      <c r="D38" t="s">
        <v>434</v>
      </c>
      <c r="E38" s="16">
        <v>3</v>
      </c>
    </row>
    <row r="39" spans="1:5" x14ac:dyDescent="0.3">
      <c r="C39" t="s">
        <v>299</v>
      </c>
      <c r="D39" t="s">
        <v>435</v>
      </c>
      <c r="E39" s="16">
        <v>1</v>
      </c>
    </row>
    <row r="40" spans="1:5" x14ac:dyDescent="0.3">
      <c r="C40" t="s">
        <v>300</v>
      </c>
      <c r="D40" t="s">
        <v>436</v>
      </c>
      <c r="E40" s="16">
        <v>4</v>
      </c>
    </row>
    <row r="41" spans="1:5" x14ac:dyDescent="0.3">
      <c r="C41" t="s">
        <v>301</v>
      </c>
      <c r="D41" t="s">
        <v>437</v>
      </c>
      <c r="E41" s="16">
        <v>2</v>
      </c>
    </row>
    <row r="42" spans="1:5" x14ac:dyDescent="0.3">
      <c r="C42" t="s">
        <v>302</v>
      </c>
      <c r="D42" t="s">
        <v>438</v>
      </c>
      <c r="E42" s="16">
        <v>2</v>
      </c>
    </row>
    <row r="43" spans="1:5" x14ac:dyDescent="0.3">
      <c r="C43" t="s">
        <v>303</v>
      </c>
      <c r="D43" t="s">
        <v>439</v>
      </c>
      <c r="E43" s="16">
        <v>2</v>
      </c>
    </row>
    <row r="44" spans="1:5" x14ac:dyDescent="0.3">
      <c r="C44" t="s">
        <v>304</v>
      </c>
      <c r="D44" t="s">
        <v>440</v>
      </c>
      <c r="E44" s="16">
        <v>3</v>
      </c>
    </row>
    <row r="45" spans="1:5" x14ac:dyDescent="0.3">
      <c r="C45" t="s">
        <v>305</v>
      </c>
      <c r="D45" t="s">
        <v>441</v>
      </c>
      <c r="E45" s="16">
        <v>2</v>
      </c>
    </row>
    <row r="46" spans="1:5" x14ac:dyDescent="0.3">
      <c r="A46" t="s">
        <v>300</v>
      </c>
      <c r="B46" t="s">
        <v>528</v>
      </c>
      <c r="C46" t="s">
        <v>294</v>
      </c>
      <c r="D46" t="s">
        <v>569</v>
      </c>
      <c r="E46" s="16">
        <v>19</v>
      </c>
    </row>
    <row r="47" spans="1:5" x14ac:dyDescent="0.3">
      <c r="C47" t="s">
        <v>295</v>
      </c>
      <c r="D47" t="s">
        <v>431</v>
      </c>
      <c r="E47" s="16">
        <v>8</v>
      </c>
    </row>
    <row r="48" spans="1:5" x14ac:dyDescent="0.3">
      <c r="C48" t="s">
        <v>296</v>
      </c>
      <c r="D48" t="s">
        <v>432</v>
      </c>
      <c r="E48" s="16">
        <v>6</v>
      </c>
    </row>
    <row r="49" spans="1:5" x14ac:dyDescent="0.3">
      <c r="C49" t="s">
        <v>297</v>
      </c>
      <c r="D49" t="s">
        <v>433</v>
      </c>
      <c r="E49" s="16">
        <v>1</v>
      </c>
    </row>
    <row r="50" spans="1:5" x14ac:dyDescent="0.3">
      <c r="C50" t="s">
        <v>298</v>
      </c>
      <c r="D50" t="s">
        <v>434</v>
      </c>
      <c r="E50" s="16">
        <v>3</v>
      </c>
    </row>
    <row r="51" spans="1:5" x14ac:dyDescent="0.3">
      <c r="C51" t="s">
        <v>299</v>
      </c>
      <c r="D51" t="s">
        <v>435</v>
      </c>
      <c r="E51" s="16">
        <v>1</v>
      </c>
    </row>
    <row r="52" spans="1:5" x14ac:dyDescent="0.3">
      <c r="C52" t="s">
        <v>300</v>
      </c>
      <c r="D52" t="s">
        <v>436</v>
      </c>
      <c r="E52" s="16">
        <v>4</v>
      </c>
    </row>
    <row r="53" spans="1:5" x14ac:dyDescent="0.3">
      <c r="C53" t="s">
        <v>301</v>
      </c>
      <c r="D53" t="s">
        <v>437</v>
      </c>
      <c r="E53" s="16">
        <v>2</v>
      </c>
    </row>
    <row r="54" spans="1:5" x14ac:dyDescent="0.3">
      <c r="C54" t="s">
        <v>302</v>
      </c>
      <c r="D54" t="s">
        <v>438</v>
      </c>
      <c r="E54" s="16">
        <v>2</v>
      </c>
    </row>
    <row r="55" spans="1:5" x14ac:dyDescent="0.3">
      <c r="C55" t="s">
        <v>304</v>
      </c>
      <c r="D55" t="s">
        <v>440</v>
      </c>
      <c r="E55" s="16">
        <v>3</v>
      </c>
    </row>
    <row r="56" spans="1:5" x14ac:dyDescent="0.3">
      <c r="C56" t="s">
        <v>305</v>
      </c>
      <c r="D56" t="s">
        <v>441</v>
      </c>
      <c r="E56" s="16">
        <v>2</v>
      </c>
    </row>
    <row r="57" spans="1:5" x14ac:dyDescent="0.3">
      <c r="A57" t="s">
        <v>301</v>
      </c>
      <c r="B57" t="s">
        <v>541</v>
      </c>
      <c r="C57" t="s">
        <v>294</v>
      </c>
      <c r="D57" t="s">
        <v>569</v>
      </c>
      <c r="E57" s="16">
        <v>16</v>
      </c>
    </row>
    <row r="58" spans="1:5" x14ac:dyDescent="0.3">
      <c r="C58" t="s">
        <v>296</v>
      </c>
      <c r="D58" t="s">
        <v>432</v>
      </c>
      <c r="E58" s="16">
        <v>6</v>
      </c>
    </row>
    <row r="59" spans="1:5" x14ac:dyDescent="0.3">
      <c r="C59" t="s">
        <v>300</v>
      </c>
      <c r="D59" t="s">
        <v>436</v>
      </c>
      <c r="E59" s="16">
        <v>4</v>
      </c>
    </row>
    <row r="60" spans="1:5" x14ac:dyDescent="0.3">
      <c r="C60" t="s">
        <v>303</v>
      </c>
      <c r="D60" t="s">
        <v>439</v>
      </c>
      <c r="E60" s="16">
        <v>2</v>
      </c>
    </row>
    <row r="61" spans="1:5" x14ac:dyDescent="0.3">
      <c r="C61" t="s">
        <v>305</v>
      </c>
      <c r="D61" t="s">
        <v>441</v>
      </c>
      <c r="E61" s="16">
        <v>2</v>
      </c>
    </row>
    <row r="62" spans="1:5" x14ac:dyDescent="0.3">
      <c r="A62" t="s">
        <v>302</v>
      </c>
      <c r="B62" t="s">
        <v>552</v>
      </c>
      <c r="C62" t="s">
        <v>294</v>
      </c>
      <c r="D62" t="s">
        <v>569</v>
      </c>
      <c r="E62" s="16">
        <v>21</v>
      </c>
    </row>
    <row r="63" spans="1:5" x14ac:dyDescent="0.3">
      <c r="C63" t="s">
        <v>306</v>
      </c>
      <c r="D63" t="s">
        <v>553</v>
      </c>
      <c r="E63" s="16">
        <v>5</v>
      </c>
    </row>
    <row r="64" spans="1:5" x14ac:dyDescent="0.3">
      <c r="A64" t="s">
        <v>571</v>
      </c>
      <c r="B64" t="s">
        <v>571</v>
      </c>
      <c r="C64" t="s">
        <v>571</v>
      </c>
      <c r="D64" t="s">
        <v>571</v>
      </c>
      <c r="E64" s="16"/>
    </row>
    <row r="65" spans="1:5" x14ac:dyDescent="0.3">
      <c r="A65" t="s">
        <v>444</v>
      </c>
      <c r="E65" s="16">
        <v>328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问题代码结构</vt:lpstr>
      <vt:lpstr>Fee Type</vt:lpstr>
      <vt:lpstr>个人</vt:lpstr>
      <vt:lpstr>学术</vt:lpstr>
      <vt:lpstr>Sheet2</vt:lpstr>
      <vt:lpstr>Sheet1 (3)</vt: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LU</dc:creator>
  <cp:lastModifiedBy>ALEX LU</cp:lastModifiedBy>
  <dcterms:created xsi:type="dcterms:W3CDTF">2015-06-05T18:17:20Z</dcterms:created>
  <dcterms:modified xsi:type="dcterms:W3CDTF">2025-09-02T09:36:45Z</dcterms:modified>
</cp:coreProperties>
</file>